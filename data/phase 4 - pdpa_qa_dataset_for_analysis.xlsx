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bdf36721bf8bd06/Documents/GitHub/AITMasterThesis/data/"/>
    </mc:Choice>
  </mc:AlternateContent>
  <xr:revisionPtr revIDLastSave="19" documentId="13_ncr:1_{B189E5B4-05B5-44F1-A3E8-EFD2BFD73D62}" xr6:coauthVersionLast="47" xr6:coauthVersionMax="47" xr10:uidLastSave="{F8ED100A-CA61-40EC-8E5B-F0DBF79F82BF}"/>
  <bookViews>
    <workbookView xWindow="-108" yWindow="-108" windowWidth="23256" windowHeight="12456" tabRatio="500" activeTab="2" xr2:uid="{00000000-000D-0000-FFFF-FFFF00000000}"/>
  </bookViews>
  <sheets>
    <sheet name="Dataset" sheetId="1" r:id="rId1"/>
    <sheet name="pdpaCh1and2Dataset" sheetId="3" r:id="rId2"/>
    <sheet name="Quality Report" sheetId="2" r:id="rId3"/>
    <sheet name="note" sheetId="4" r:id="rId4"/>
  </sheets>
  <definedNames>
    <definedName name="_xlnm._FilterDatabase" localSheetId="0" hidden="1">Dataset!$A$1:$J$36</definedName>
    <definedName name="_xlnm._FilterDatabase" localSheetId="1" hidden="1">pdpaCh1and2Dataset!$A$1:$J$30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2" l="1"/>
  <c r="B33" i="2"/>
  <c r="B32" i="2"/>
  <c r="B31" i="2"/>
  <c r="B28" i="2"/>
  <c r="B27" i="2"/>
  <c r="B26" i="2"/>
  <c r="B23" i="2"/>
  <c r="B22" i="2"/>
  <c r="B21" i="2"/>
  <c r="B20" i="2"/>
  <c r="B19" i="2"/>
  <c r="B18" i="2"/>
  <c r="B15" i="2"/>
  <c r="B14" i="2"/>
  <c r="B13" i="2"/>
  <c r="B12" i="2"/>
  <c r="B11" i="2"/>
  <c r="B10" i="2"/>
  <c r="B9" i="2"/>
  <c r="B8" i="2"/>
  <c r="B7" i="2"/>
  <c r="B6" i="2"/>
  <c r="B5" i="2"/>
  <c r="E32" i="2" l="1"/>
  <c r="E15" i="2"/>
  <c r="E13" i="2"/>
  <c r="E5" i="2"/>
  <c r="E22" i="2"/>
  <c r="E23" i="2"/>
  <c r="E21" i="2"/>
  <c r="E20" i="2"/>
  <c r="E19" i="2"/>
  <c r="E18" i="2"/>
  <c r="E11" i="2"/>
  <c r="E8" i="2"/>
  <c r="E6" i="2"/>
  <c r="E10" i="2"/>
  <c r="E14" i="2"/>
  <c r="E7" i="2"/>
  <c r="E26" i="2"/>
  <c r="E12" i="2"/>
  <c r="E9" i="2"/>
</calcChain>
</file>

<file path=xl/sharedStrings.xml><?xml version="1.0" encoding="utf-8"?>
<sst xmlns="http://schemas.openxmlformats.org/spreadsheetml/2006/main" count="633" uniqueCount="195">
  <si>
    <t>id</t>
  </si>
  <si>
    <t>question</t>
  </si>
  <si>
    <t>groundTruth</t>
  </si>
  <si>
    <t>groundTruth_orgNeutral</t>
  </si>
  <si>
    <t>category</t>
  </si>
  <si>
    <t>pdpa_sections</t>
  </si>
  <si>
    <t>question_type</t>
  </si>
  <si>
    <t>primary_scope</t>
  </si>
  <si>
    <t>answer_word_count</t>
  </si>
  <si>
    <t>quality_flags</t>
  </si>
  <si>
    <t>PDPA-001</t>
  </si>
  <si>
    <t>What is PDPA?</t>
  </si>
  <si>
    <t>PDPA (Personal Data Protection Act, B.E. 2562 (2019)) is the Personal Data Protection Act B.E. 2562, which was announced in the Government Gazette on May 27, 2019. June 1, 2022 is the date that this Act comes into force in accordance with the law.</t>
  </si>
  <si>
    <t>Definitions &amp; Scope</t>
  </si>
  <si>
    <t>Section 1; Section 2</t>
  </si>
  <si>
    <t>definition</t>
  </si>
  <si>
    <t>Sec 1–29</t>
  </si>
  <si>
    <t>effective-date phrasing imprecise</t>
  </si>
  <si>
    <t>PDPA-002</t>
  </si>
  <si>
    <t>What is personal data?</t>
  </si>
  <si>
    <t>Information about an individual that enables the identification of that individual, either directly or indirectly, whereby information about the deceased and information about a legal entity are not considered personal data under this PDPA. Personal data includes first and last name, national ID number, address, telephone number, date of birth, email, education, gender, occupation, photograph, financial information. It also includes sensitive personal data, such as medical or health information, genetic and biometric information, race, political opinions, religious or philosophical beliefs, sexual behavior, criminal history, trade union information, etc.</t>
  </si>
  <si>
    <t>Section 6; Section 26</t>
  </si>
  <si>
    <t>PDPA-003</t>
  </si>
  <si>
    <t>What is a personal data protection policy?</t>
  </si>
  <si>
    <t>A personal data protection policy is a policy that the State Railway of Thailand sets out its practices regarding the collection, use, or disclosure of personal data. It is usually published in a document on the website to inform the staff of the State Railway of Thailand. The details in the Data Protection Policy must at least include:
- Process for collecting, using, or disclosing personal data
- Personal data protection officer
- Process for disclosing, sending, or transferring personal data to individuals or juristic persons
- Process for the rights of personal data owners
- Process for maintaining the security of personal data
- Roles, duties, and responsibilities</t>
  </si>
  <si>
    <t>A personal data protection policy is a policy that the organization sets out its practices regarding the collection, use, or disclosure of personal data. It is usually published in a document on the website to inform the staff of the organization. The details in the Data Protection Policy must at least include:
- Process for collecting, using, or disclosing personal data
- Personal data protection officer
- Process for disclosing, sending, or transferring personal data to individuals or juristic persons
- Process for the rights of personal data owners
- Process for maintaining the security of personal data
- Roles, duties, and responsibilities</t>
  </si>
  <si>
    <t>Compliance Documents</t>
  </si>
  <si>
    <t>Section 29</t>
  </si>
  <si>
    <t>org-specific reference</t>
  </si>
  <si>
    <t>PDPA-004</t>
  </si>
  <si>
    <t>What is a privacy statement?</t>
  </si>
  <si>
    <t>Privacy Notice is an announcement that the State Railway of Thailand sets out the details of the practices regarding the collection, use or disclosure of personal data for data subjects. Most of them are published in the form of a document on the website to inform users. The details in the Privacy Notice must include at least:
- What personal data is collected?
- How is the personal data collected?
- What are the steps involved in collecting personal data?
- The purpose of the data processing.
- Details of the disclosure of personal data, such as who the personal data is disclosed to.
- Rights of the personal data owner
- Contact information for the personal data controller and the personal data protection officer/representative.</t>
  </si>
  <si>
    <t>Privacy Notice is an announcement that the organization sets out the details of the practices regarding the collection, use or disclosure of personal data for data subjects. Most of them are published in the form of a document on the website to inform users. The details in the Privacy Notice must include at least:
- What personal data is collected?
- How is the personal data collected?
- What are the steps involved in collecting personal data?
- The purpose of the data processing.
- Details of the disclosure of personal data, such as who the personal data is disclosed to.
- Rights of the personal data owner
- Contact information for the personal data controller and the personal data protection officer/representative.</t>
  </si>
  <si>
    <t>Section 23</t>
  </si>
  <si>
    <t>PDPA-005</t>
  </si>
  <si>
    <t>What if there is no Data Protection Policy?</t>
  </si>
  <si>
    <t>According to the PDPA, if a business collects or processes personal data, that business must prepare a Privacy Policy, otherwise it may be guilty under the PDPA, which will result in the following penalties:
- Civil penalties: Pay compensation not exceeding twice the actual compensation
- Criminal penalties: Imprisonment not exceeding 1 year or a fine not exceeding 1 million baht, or both
- Administrative penalties: Fine not exceeding 5 million baht</t>
  </si>
  <si>
    <t>Section 77; Section 79; Section 83</t>
  </si>
  <si>
    <t>explanatory</t>
  </si>
  <si>
    <t>Beyond Ch I–II</t>
  </si>
  <si>
    <t>penalties lie in Ch VI–VII (beyond Ch I–II)</t>
  </si>
  <si>
    <t>PDPA-006</t>
  </si>
  <si>
    <t>Who are the individuals involved in personal data?</t>
  </si>
  <si>
    <t>- Data Subject means the person to whom the data refers.
- Data Controller means the person or legal entity that has the authority to “decide” regarding the collection, use or disclosure of personal data.
- Data Processor means the person or legal entity that takes action regarding the collection, use or disclosure of personal data “at the direction or on behalf of the Data Controller”. However, the person or legal entity taking such action must not be a Data Controller.</t>
  </si>
  <si>
    <t>Roles &amp; Actors</t>
  </si>
  <si>
    <t>Section 6</t>
  </si>
  <si>
    <t>PDPA-007</t>
  </si>
  <si>
    <t>Who are the personal data controllers and personal data processors?</t>
  </si>
  <si>
    <t>a personal data controller, which is a person or juristic person who has the authority to make decisions regarding the collection, use or disclosure of personal data. Data processor means a person or juristic person who performs the collection, use or disclosure of personal data as ordered by or on behalf of the personal data controller. However, such person or juristic person who performs such actions is not a personal data controller. SRT's data processor includes contractors who perform various operations for SRT, such as ticket sales service contractors, etc.</t>
  </si>
  <si>
    <t>a personal data controller, which is a person or juristic person who has the authority to make decisions regarding the collection, use or disclosure of personal data. Data processor means a person or juristic person who performs the collection, use or disclosure of personal data as ordered by or on behalf of the personal data controller. However, such person or juristic person who performs such actions is not a personal data controller. the organization's data processor includes contractors who perform various operations for the organization, such as ticket sales service contractors, etc.</t>
  </si>
  <si>
    <t>PDPA-008</t>
  </si>
  <si>
    <t>In what cases can personal data be collected, used or disclosed?</t>
  </si>
  <si>
    <t>Obtain consent from the owner of personal data (Consent basis)
- Prepare historical documents or archives for public interest, conduct studies, research or compile statistics (Scientific or Research basis)
- Prevent or suppress dangers to life, body or health of individuals (Vital Interest basis)
- Necessary to comply with the law (Legal Obligation basis)
- Necessary to comply with a contract (Contract basis)
- Necessary for the legitimate interests of the personal data controller or another person (Legitimate Interest basis)
- Necessary for the public interest and the exercise of state power (Public Task basis)</t>
  </si>
  <si>
    <t>Lawful Basis</t>
  </si>
  <si>
    <t>Section 24; Section 19; Section 27</t>
  </si>
  <si>
    <t>list</t>
  </si>
  <si>
    <t>PDPA-009</t>
  </si>
  <si>
    <t>What are the conditions for sending or transferring personal data abroad (Cross-border Personal Data Transfer)?</t>
  </si>
  <si>
    <t>Destination countries or international organizations receiving personal data must have adequate standards of personal data protection, unless the data subject has obtained consent, is required by law/contract, or is in the public interest.</t>
  </si>
  <si>
    <t>Cross-border Transfer</t>
  </si>
  <si>
    <t>Section 28; Section 29</t>
  </si>
  <si>
    <t>PDPA-010</t>
  </si>
  <si>
    <t>What are the conditions of consent?</t>
  </si>
  <si>
    <t>Consent for data protection purposes must be obtained in the following ways:
- Consent must be obtained prior to the processing taking place.
- Consent must always be voluntary and of the choice of the data subject.
- The purposes of the processing must be specific.
- Consent must be explicit.
- Consent must be separate from conditions and obligations.
- Provide options to refuse to give consent or to withdraw consent without undue consequences.
- Consent content must be understandable and easily accessible.</t>
  </si>
  <si>
    <t>Consent</t>
  </si>
  <si>
    <t>Section 19; Section 20; Section 21</t>
  </si>
  <si>
    <t>PDPA-011</t>
  </si>
  <si>
    <t>What will happen after the Personal Data Protection Act (PDPA) officially comes into effect?</t>
  </si>
  <si>
    <t>Impact on data owners Data owners, meaning natural persons who own personal data that is processed, have more rights to control the processing of such data and have the right to claim if it the data becomes damage, with heavier penalties, as follows:
- The right to request access, request a copy, request data transfer, object to and suspend data processing, request deletion or destruction of personal data, or the right to freely choose to provide or withdraw consent.
- In the event of damage, legal, criminal and administrative lawsuits can be filed.
 Impact on the company, as the data controller, can still process personal data for the company's operations as usual, but must use caution and have a clearer framework to follow, as follows:
- The processing of personal data must be limited to only what is necessary.
- The data processing must have a purpose that has a legal basis as specified in the Act, such as performing duties under the law, performing duties under a contract, legitimate rights, and if the processing is based on consent, consent must be obtained first.
- The data owner must be explained and informed of the details of the processing of personal data.
- The data security must be guaranteed.</t>
  </si>
  <si>
    <t>Data Subject Rights</t>
  </si>
  <si>
    <t>Section 30–36; Section 37</t>
  </si>
  <si>
    <t>rights (Ch III) &amp; security (S37) beyond Ch I–II</t>
  </si>
  <si>
    <t>PDPA-012</t>
  </si>
  <si>
    <t>What must entrepreneurs prepare to support PDPA?</t>
  </si>
  <si>
    <t>1. Study the law and understand the roles and responsibilities specified in the law in detail.
2. Establish the regulations and policies of the State Railway of Thailand for internal data collection, which must be reviewed and updated to be current at all times.
3. Identify the steps for data collection to be standardized, including having a form or support system for the State Railway of Thailand to request consent.
4. Establish regulations and criteria for the State Railway of Thailand for data collection, use, and disclosure in accordance with the law, as well as set measures to solve problems in the event of a violation of personal data or data leakage.
5. Establish a system that helps to store personal data safely and efficiently.
6. Provide training to personnel within the State Railway of Thailand about the importance of personal data so that they understand the principles and can apply them in their work in accordance with the law</t>
  </si>
  <si>
    <t>1. Study the law and understand the roles and responsibilities specified in the law in detail.
2. Establish the regulations and policies of the organization for internal data collection, which must be reviewed and updated to be current at all times.
3. Identify the steps for data collection to be standardized, including having a form or support system for the organization to request consent.
4. Establish regulations and criteria for the organization for data collection, use, and disclosure in accordance with the law, as well as set measures to solve problems in the event of a violation of personal data or data leakage.
5. Establish a system that helps to store personal data safely and efficiently.
6. Provide training to personnel within the organization about the importance of personal data so that they understand the principles and can apply them in their work in accordance with the law</t>
  </si>
  <si>
    <t>Operational / Procedural</t>
  </si>
  <si>
    <t>Section 22; Section 23; Section 24; Section 37; Section 39</t>
  </si>
  <si>
    <t>procedural</t>
  </si>
  <si>
    <t>org-specific; cites S37/S39 beyond Ch I–II</t>
  </si>
  <si>
    <t>PDPA-013</t>
  </si>
  <si>
    <t>Do government agencies and state enterprises have to comply with the PDPA?</t>
  </si>
  <si>
    <t>In principle, the PDPA applies to both the public and private sectors, including state enterprises. Therefore, state agencies and state enterprises must comply with the PDPA as well, but the duties of the agencies may differ depending on the type of agency and the activities in processing personal data. For example,
 in Case 1, agencies exempted under Section 4 are exempt from the enforcement of the PDPA, such as the operations of agencies responsible for maintaining national security, anti-money laundering, forensic science, cybersecurity, court proceedings and officials in court proceedings, the House of Representatives, the Senate and the Parliament, and other organizations, etc. However, they must provide for the maintenance of personal data security in accordance with the standards.
 In Case 2, state agencies or state enterprises that are not exempted under Section 4 in Case 1 must comply with the PDPA, such as ministries, departments, agencies that are juristic persons, or state enterprises, such as state enterprises that produce and distribute water or electricity.
 In appointing a DPO, a state agency, regardless of whether it is small or large, or whether it collects a large amount of personal data, must also appoint a DPO because the law does not specify the size or amount of collection, use or disclosure of personal data (except for the Protection Committee). (There will be an announcement specifying otherwise) Unlike the private sector that will look at whether there is a large amount of personal data processing or whether the main activity is the processing of sensitive personal data. Therefore, government agencies must prepare for the appointment of a DPO. However, government agencies or state enterprises that have missions for the public interest or use state power as specified by law or the law establishing them may refer to the Public Tasks base in the main activities or some activities, which may need to be considered on an organization or activity-by-activity basis of that organization or agency, but must still comply with the PDPA in other matters, just like private companies.</t>
  </si>
  <si>
    <t>Scope &amp; Exclusions</t>
  </si>
  <si>
    <t>Section 4; Section 5; Section 41</t>
  </si>
  <si>
    <t>yes-no</t>
  </si>
  <si>
    <t>DPO duty (S41) beyond Ch I–II</t>
  </si>
  <si>
    <t>PDPA-014</t>
  </si>
  <si>
    <t>Is it necessary to complete the Personal Data Protection Policy and Privacy Notice before the PDPA comes into effect?</t>
  </si>
  <si>
    <t>It should be done as quickly as possible.</t>
  </si>
  <si>
    <t>Section 2</t>
  </si>
  <si>
    <t>terse</t>
  </si>
  <si>
    <t>PDPA-015</t>
  </si>
  <si>
    <t>What is the difference between a Privacy Notice and a Data Protection Policy?</t>
  </si>
  <si>
    <t>Privacy Notice is a publicly available document that communicates personal information to individuals about individuals whose personal information the SRT collects. Personal Data Protection Policy is an internal document that sets out the processes and procedures the SRT has implemented to ensure compliance with the PDPA in the processing of personal information.</t>
  </si>
  <si>
    <t>Privacy Notice is a publicly available document that communicates personal information to individuals about individuals whose personal information the organization collects. Personal Data Protection Policy is an internal document that sets out the processes and procedures the organization has implemented to ensure compliance with the PDPA in the processing of personal information.</t>
  </si>
  <si>
    <t>Section 23; Section 29</t>
  </si>
  <si>
    <t>PDPA-016</t>
  </si>
  <si>
    <t>Does the document informing the data owner of the collection of personal data require the signature of the data owner?</t>
  </si>
  <si>
    <t>The document informing the data owner about the collection of personal data does not necessarily have to be the data owner's name. The SRT should consider the document informing the data owner about the collection of personal data in the data set in the initial process before collecting personal data.</t>
  </si>
  <si>
    <t>The document informing the data owner about the collection of personal data does not necessarily have to be the data owner's name. the organization should consider the document informing the data owner about the collection of personal data in the data set in the initial process before collecting personal data.</t>
  </si>
  <si>
    <t>PDPA-017</t>
  </si>
  <si>
    <t>In the case of an external organization/agency using the facilities of my company, who will be responsible for data management?</t>
  </si>
  <si>
    <t>This depends on the nature of the service being provided. If the service is managed and initiated by someone, that person is responsible for the personal data. However, if the service is managed in a joint management model, the main company and the joint manager will have joint responsibility as the personal data controller and a joint control agreement will be required.</t>
  </si>
  <si>
    <t>scenario</t>
  </si>
  <si>
    <t>joint-controller concept (not explicit in Ch I–II text)</t>
  </si>
  <si>
    <t>PDPA-018</t>
  </si>
  <si>
    <t>How should the company manage data collection for events such as anniversaries or parties?</t>
  </si>
  <si>
    <t>If the company wants to collect retrospective data for various works such as photos, positions and outstanding achievements, they can collect such data based on legitimate interests. In promoting the company, they should store permanently stored data such as lists of former employees. The company should retain personal data only as necessary and in accordance with the specified data retention period.</t>
  </si>
  <si>
    <t>Section 24(5)</t>
  </si>
  <si>
    <t>PDPA-019</t>
  </si>
  <si>
    <t>If the company wishes to collect photographs of its employees, must it be specified in the document informing the data owner of the collection of personal information (Privacy Notice)?</t>
  </si>
  <si>
    <t>Must be specified.</t>
  </si>
  <si>
    <t>PDPA-020</t>
  </si>
  <si>
    <t>Is it necessary to obtain consent for the use of employee photos?</t>
  </si>
  <si>
    <t>Obtaining consent for the use of employee photographs may be necessary in certain circumstances. If the use is for public display or distribution purposes, then consent should be sought from the employee and the frequency of use should be specified in the privacy policy. If the use of employee photographs is for identity verification purposes, consent is not required and SRT can claim legitimate interest.</t>
  </si>
  <si>
    <t>Obtaining consent for the use of employee photographs may be necessary in certain circumstances. If the use is for public display or distribution purposes, then consent should be sought from the employee and the frequency of use should be specified in the privacy policy. If the use of employee photographs is for identity verification purposes, consent is not required and the organization can claim legitimate interest.</t>
  </si>
  <si>
    <t>Section 19; Section 24(5)</t>
  </si>
  <si>
    <t>PDPA-021</t>
  </si>
  <si>
    <t>Is employee and executive salary information considered sensitive personal data under the PDPA?</t>
  </si>
  <si>
    <t>Although such information is important personal financial information, it is only Personal Data and is therefore not Sensitive Personal Data as defined by the PDPA.</t>
  </si>
  <si>
    <t>Sensitive Data</t>
  </si>
  <si>
    <t>PDPA-022</t>
  </si>
  <si>
    <t>Are a company's name, address, and commercial or financial information personal?</t>
  </si>
  <si>
    <t>No, because it is not personal information, it is not protected under the PDPA, but it may be protected under other laws, such as tort or trade secret laws.</t>
  </si>
  <si>
    <t>PDPA-023</t>
  </si>
  <si>
    <t>The company requests a medical certificate to consider approving leave for employees, such as sick leave. The medical certificate will contain health information (Sensitive Personal Data). Is it necessary to request express consent from the employee first?</t>
  </si>
  <si>
    <t>If it is a sick leave of three days or more: The company can require the employee to present a medical certificate. Under the Labor Protection Act, the company may collect the medical certificate without the employee's consent because it may be considered a legitimate interest of the company and necessary to comply with the law in order to achieve the objectives related to labor protection.</t>
  </si>
  <si>
    <t>Section 26(3)(c)</t>
  </si>
  <si>
    <t>relies on Labor Protection Act (external)</t>
  </si>
  <si>
    <t>PDPA-024</t>
  </si>
  <si>
    <t>Does consent always need to be obtained when collecting personal data?</t>
  </si>
  <si>
    <t>It is not necessary if the Company can invoke a legitimate legal basis for collecting and processing such personal data under Sections 24 and 26 of the Personal Data Protection Act B.E. 2562. However , the Company is required to inform the data owner of the collection of data and the purpose of collection.</t>
  </si>
  <si>
    <t>Section 24; Section 26</t>
  </si>
  <si>
    <t>PDPA-025</t>
  </si>
  <si>
    <t>What are the document forms that should be prepared for operations in accordance with the Personal Data Protection Act 2019?</t>
  </si>
  <si>
    <t>Privacy Policy
Privacy Policy (Privacy Notice)
Consent Form
Data Subject Rights Form
Record of Processing Activity</t>
  </si>
  <si>
    <t>Section 19; Section 23; Section 39</t>
  </si>
  <si>
    <t>cites S39 (records) beyond Ch I–II</t>
  </si>
  <si>
    <t>PDPA-026</t>
  </si>
  <si>
    <t>Is it necessary to obtain consent from the occupants of the premises every time the installation of CCTV cameras for security purposes?</t>
  </si>
  <si>
    <t>If the CCTV camera used does not have identification technology, such as a facial recognition system, it is considered general information for which the owner of the premises can claim a legitimate interest under Section 24 (5), without the owner of the premises needing to ask for consent, but must inform those accessing the premises that CCTV is being used, by posting a notice clearly at the entrance to the premises, and the owner of the premises can use the information stored in the CCTV camera only for security purposes. However, in cases where the CCTV camera has facial recognition technology, which creates a model of a person's face for identification, such information is considered sensitive information and requires the owner's consent.</t>
  </si>
  <si>
    <t>Section 24(5); Section 26</t>
  </si>
  <si>
    <t>PDPA-027</t>
  </si>
  <si>
    <t>Is the information of a legal entity considered personal information?</t>
  </si>
  <si>
    <t>Legal entity information , such as a legal entity registration number, is not considered personal information because the Personal Data Protection Act B.E. 2562 only protects personal information of natural persons who have not yet died.</t>
  </si>
  <si>
    <t>PDPA-028</t>
  </si>
  <si>
    <t>Are data about deceased persons or juristic persons considered personal data?</t>
  </si>
  <si>
    <t>No, they are not considered personal data under the law.</t>
  </si>
  <si>
    <t>PDPA-029</t>
  </si>
  <si>
    <t>Which agency is responsible for personal data protection?</t>
  </si>
  <si>
    <t>The Office of the Personal Data Protection Committee (PDPC) under the Ministry of Digital Economy and Society.
Contact: Tel. 02-142-1033 | Email: pdpc@mdes.go.th</t>
  </si>
  <si>
    <t>Governance &amp; Authority</t>
  </si>
  <si>
    <t>Section 8; Section 16</t>
  </si>
  <si>
    <t>contact details may change over time</t>
  </si>
  <si>
    <t>PDPA-030</t>
  </si>
  <si>
    <t>When can personal data be used without consent?</t>
  </si>
  <si>
    <t>Based on legal consent
Necessary for legitimate interests
Necessary for public interest or exercising state authority
Necessary for fulfilling a contract
Required by law
Preventing or suppressing danger to life, body, or health of a person</t>
  </si>
  <si>
    <t>Section 24; Section 27</t>
  </si>
  <si>
    <t>PDPA-031</t>
  </si>
  <si>
    <t>Can a company force employees to sign consent to disclose data to outsiders?</t>
  </si>
  <si>
    <t>No.</t>
  </si>
  <si>
    <t>Section 19</t>
  </si>
  <si>
    <t>PDPA-032</t>
  </si>
  <si>
    <t>Why is government data governance important?</t>
  </si>
  <si>
    <t>To make digital government services more efficient and convenient for citizens.
To promote open data.
To support data integration.</t>
  </si>
  <si>
    <t>Out of PDPA scope</t>
  </si>
  <si>
    <t>general policy framing, not grounded in PDPA text</t>
  </si>
  <si>
    <t>PDPA-033</t>
  </si>
  <si>
    <t>Can one agency request personal data from another?</t>
  </si>
  <si>
    <t>Normally, data must be collected from the data subject directly, except when:
- The subject has been informed and consented.
- Data can be collected without consent in cases such as:
 - For historical/archival records or public interest research/statistics.
 - To prevent danger to life/health.
 - To perform contractual obligations.
 - To perform public duties or state authority.
 - For legitimate interests of the data controller.
 - To comply with the law.
For sensitive data (race, political opinion, religion, sexual behavior, criminal records, health, disability, union membership, genetics, biometrics), collection without consent is allowed if:
- To prevent danger to life/health.
- For lawful activities with proper safeguards.
- Data made public with explicit consent.
- To establish legal claims.
- Necessary to comply with law (e.g., preventive medicine, public health, labor protection, insurance, research, or important public interest).</t>
  </si>
  <si>
    <t>Section 25; Section 24; Section 26</t>
  </si>
  <si>
    <t>PDPA-034</t>
  </si>
  <si>
    <t>How to request personal data from another agency?</t>
  </si>
  <si>
    <t>Submit a formal request letter citing PDPA Sections 24, 25, 26.</t>
  </si>
  <si>
    <t>Section 25</t>
  </si>
  <si>
    <t>terse / operational guidance</t>
  </si>
  <si>
    <t>PDPA-035</t>
  </si>
  <si>
    <t>How to prepare personal data for public disclosure?</t>
  </si>
  <si>
    <t>- Anonymization: make it impossible to identify individuals.
- Data minimization: reduce detail (e.g., keep only birth year instead of full DOB, postal code instead of full address).
Relevant Laws
- Digital Government Administration and Services Act B.E. 2562 (2019)
- National ID Card Act (No. 3) B.E. 2554 (2011)
- Personal Data Protection Act B.E. 2562 (2019)
- Official Information Act B.E. 2540 (1997)</t>
  </si>
  <si>
    <t>Section 22</t>
  </si>
  <si>
    <t>references external laws (DGA, ID Card, OIA)</t>
  </si>
  <si>
    <t>PDPA QA Dataset — Quality Summary</t>
  </si>
  <si>
    <t>Total question/answer pairs</t>
  </si>
  <si>
    <t>By Category</t>
  </si>
  <si>
    <t>Count</t>
  </si>
  <si>
    <t>By Question Type</t>
  </si>
  <si>
    <t>By Primary Scope</t>
  </si>
  <si>
    <t>Quality checks</t>
  </si>
  <si>
    <t>Rows with a quality flag</t>
  </si>
  <si>
    <t>Org-specific references</t>
  </si>
  <si>
    <t>Answers shorter than 8 words</t>
  </si>
  <si>
    <t>Rows to remove: 6, 12, 13, 14, 26 ("Beyond Ch I–II") and 33 ("Out of PDPA scope").</t>
  </si>
  <si>
    <t>remove Out of Scope</t>
  </si>
  <si>
    <t>groundTruth_orgNeutral (SRT version for some 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</si>
</sst>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0"/>
      <name val="Arial"/>
      <family val="2"/>
    </font>
    <font>
      <b/>
      <sz val="10"/>
      <color rgb="FFFFFFFF"/>
      <name val="Arial"/>
      <family val="2"/>
    </font>
    <font>
      <sz val="10"/>
      <name val="Arial"/>
      <family val="2"/>
    </font>
    <font>
      <b/>
      <sz val="13"/>
      <color rgb="FF1F4E5F"/>
      <name val="Arial"/>
      <family val="2"/>
    </font>
    <font>
      <b/>
      <sz val="10"/>
      <name val="Arial"/>
      <family val="2"/>
    </font>
    <font>
      <b/>
      <sz val="11"/>
      <color rgb="FFFFFFFF"/>
      <name val="Arial"/>
      <family val="2"/>
    </font>
    <font>
      <sz val="8"/>
      <color rgb="FF121212"/>
      <name val="Segoe UI"/>
      <family val="2"/>
    </font>
    <font>
      <b/>
      <sz val="11"/>
      <color theme="1"/>
      <name val="Calibri"/>
      <family val="2"/>
    </font>
  </fonts>
  <fills count="7">
    <fill>
      <patternFill patternType="none"/>
    </fill>
    <fill>
      <patternFill patternType="gray125"/>
    </fill>
    <fill>
      <patternFill patternType="solid">
        <fgColor rgb="FFFFF2CC"/>
        <bgColor rgb="FFFADBD8"/>
      </patternFill>
    </fill>
    <fill>
      <patternFill patternType="solid">
        <fgColor rgb="FFFADBD8"/>
        <bgColor rgb="FFFFF2CC"/>
      </patternFill>
    </fill>
    <fill>
      <patternFill patternType="solid">
        <fgColor rgb="FF2E75B6"/>
        <bgColor rgb="FF0066CC"/>
      </patternFill>
    </fill>
    <fill>
      <patternFill patternType="solid">
        <fgColor theme="7"/>
        <bgColor rgb="FF333333"/>
      </patternFill>
    </fill>
    <fill>
      <patternFill patternType="solid">
        <fgColor theme="6" tint="0.79998168889431442"/>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9">
    <xf numFmtId="0" fontId="0" fillId="0" borderId="0" xfId="0"/>
    <xf numFmtId="0" fontId="3" fillId="0" borderId="1" xfId="0" applyFont="1" applyBorder="1" applyAlignment="1">
      <alignment horizontal="center"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3" fillId="2" borderId="1" xfId="0" applyFont="1" applyFill="1" applyBorder="1" applyAlignment="1">
      <alignment horizontal="center" vertical="top"/>
    </xf>
    <xf numFmtId="0" fontId="3" fillId="3" borderId="1" xfId="0" applyFont="1" applyFill="1" applyBorder="1" applyAlignment="1">
      <alignment horizontal="center" vertical="top"/>
    </xf>
    <xf numFmtId="0" fontId="4" fillId="0" borderId="0" xfId="0" applyFont="1"/>
    <xf numFmtId="0" fontId="3" fillId="0" borderId="0" xfId="0" applyFont="1"/>
    <xf numFmtId="0" fontId="5" fillId="0" borderId="0" xfId="0" applyFont="1"/>
    <xf numFmtId="0" fontId="6" fillId="4" borderId="0" xfId="0" applyFont="1" applyFill="1"/>
    <xf numFmtId="0" fontId="0" fillId="0" borderId="0" xfId="0" applyAlignment="1">
      <alignment wrapText="1"/>
    </xf>
    <xf numFmtId="0" fontId="1" fillId="0" borderId="1" xfId="0" applyFont="1" applyBorder="1" applyAlignment="1">
      <alignment horizontal="left" vertical="top" wrapText="1"/>
    </xf>
    <xf numFmtId="0" fontId="2" fillId="5" borderId="1" xfId="0" applyFont="1" applyFill="1" applyBorder="1" applyAlignment="1">
      <alignment horizontal="center" vertical="center" wrapText="1"/>
    </xf>
    <xf numFmtId="0" fontId="7" fillId="0" borderId="0" xfId="0" applyFont="1"/>
    <xf numFmtId="0" fontId="2" fillId="5" borderId="1" xfId="0" applyFont="1" applyFill="1" applyBorder="1" applyAlignment="1">
      <alignment horizontal="center" vertical="center"/>
    </xf>
    <xf numFmtId="0" fontId="8" fillId="0" borderId="0" xfId="0" applyFont="1"/>
    <xf numFmtId="0" fontId="1" fillId="0" borderId="0" xfId="0" applyFont="1"/>
    <xf numFmtId="0" fontId="1" fillId="0" borderId="1" xfId="0" applyFont="1" applyBorder="1" applyAlignment="1">
      <alignment horizontal="left" vertical="top"/>
    </xf>
    <xf numFmtId="0" fontId="3"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ADBD8"/>
      <rgbColor rgb="FF2E75B6"/>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35B6CC7-2490-4184-8CF0-A6A87E4C53B2}">
  <we:reference id="wa200009404" version="1.0.0.8" store="en-US" storeType="OMEX"/>
  <we:alternateReferences>
    <we:reference id="wa200009404" version="1.0.0.8" store="en-US" storeType="OMEX"/>
  </we:alternateReferences>
  <we:properties>
    <we:property name="claude.fileId" value="&quot;70afe3b5-1ec6-4605-8c2b-da167bf8c891&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zoomScaleNormal="100" workbookViewId="0">
      <pane ySplit="1" topLeftCell="A35" activePane="bottomLeft" state="frozen"/>
      <selection pane="bottomLeft" activeCell="D2" sqref="D2:D36"/>
    </sheetView>
  </sheetViews>
  <sheetFormatPr defaultColWidth="8.6640625" defaultRowHeight="14.4" x14ac:dyDescent="0.3"/>
  <cols>
    <col min="1" max="1" width="9.6640625" bestFit="1" customWidth="1"/>
    <col min="2" max="2" width="17.21875" customWidth="1"/>
    <col min="3" max="3" width="55.77734375" style="10" customWidth="1"/>
    <col min="4" max="4" width="56.21875" style="10" customWidth="1"/>
    <col min="5" max="5" width="21" bestFit="1" customWidth="1"/>
    <col min="6" max="6" width="49.88671875" bestFit="1" customWidth="1"/>
    <col min="7" max="7" width="14" customWidth="1"/>
    <col min="8" max="8" width="17" customWidth="1"/>
    <col min="9" max="9" width="23.33203125" bestFit="1" customWidth="1"/>
    <col min="10" max="10" width="34" customWidth="1"/>
  </cols>
  <sheetData>
    <row r="1" spans="1:10" x14ac:dyDescent="0.3">
      <c r="A1" s="14" t="s">
        <v>0</v>
      </c>
      <c r="B1" s="14" t="s">
        <v>1</v>
      </c>
      <c r="C1" s="12" t="s">
        <v>3</v>
      </c>
      <c r="D1" s="12" t="s">
        <v>2</v>
      </c>
      <c r="E1" s="14" t="s">
        <v>4</v>
      </c>
      <c r="F1" s="14" t="s">
        <v>5</v>
      </c>
      <c r="G1" s="14" t="s">
        <v>6</v>
      </c>
      <c r="H1" s="14" t="s">
        <v>7</v>
      </c>
      <c r="I1" s="14" t="s">
        <v>8</v>
      </c>
      <c r="J1" s="14" t="s">
        <v>9</v>
      </c>
    </row>
    <row r="2" spans="1:10" ht="184.8" x14ac:dyDescent="0.3">
      <c r="A2" s="1" t="s">
        <v>10</v>
      </c>
      <c r="B2" s="2" t="s">
        <v>11</v>
      </c>
      <c r="C2" s="2" t="s">
        <v>12</v>
      </c>
      <c r="D2" s="18" t="s">
        <v>12</v>
      </c>
      <c r="E2" s="3" t="s">
        <v>13</v>
      </c>
      <c r="F2" s="3" t="s">
        <v>14</v>
      </c>
      <c r="G2" s="1" t="s">
        <v>15</v>
      </c>
      <c r="H2" s="1" t="s">
        <v>16</v>
      </c>
      <c r="I2" s="1">
        <v>44</v>
      </c>
      <c r="J2" s="2" t="s">
        <v>17</v>
      </c>
    </row>
    <row r="3" spans="1:10" ht="148.19999999999999" customHeight="1" x14ac:dyDescent="0.3">
      <c r="A3" s="1" t="s">
        <v>18</v>
      </c>
      <c r="B3" s="2" t="s">
        <v>19</v>
      </c>
      <c r="C3" s="11" t="s">
        <v>20</v>
      </c>
      <c r="D3" s="2" t="s">
        <v>20</v>
      </c>
      <c r="E3" s="3" t="s">
        <v>13</v>
      </c>
      <c r="F3" s="3" t="s">
        <v>21</v>
      </c>
      <c r="G3" s="1" t="s">
        <v>15</v>
      </c>
      <c r="H3" s="1" t="s">
        <v>16</v>
      </c>
      <c r="I3" s="1">
        <v>88</v>
      </c>
      <c r="J3" s="2"/>
    </row>
    <row r="4" spans="1:10" ht="167.4" customHeight="1" x14ac:dyDescent="0.3">
      <c r="A4" s="1" t="s">
        <v>22</v>
      </c>
      <c r="B4" s="2" t="s">
        <v>23</v>
      </c>
      <c r="C4" s="2" t="s">
        <v>24</v>
      </c>
      <c r="D4" s="2" t="s">
        <v>25</v>
      </c>
      <c r="E4" s="3" t="s">
        <v>26</v>
      </c>
      <c r="F4" s="3" t="s">
        <v>27</v>
      </c>
      <c r="G4" s="1" t="s">
        <v>15</v>
      </c>
      <c r="H4" s="1" t="s">
        <v>16</v>
      </c>
      <c r="I4" s="1">
        <v>109</v>
      </c>
      <c r="J4" s="2" t="s">
        <v>28</v>
      </c>
    </row>
    <row r="5" spans="1:10" ht="204.6" customHeight="1" x14ac:dyDescent="0.3">
      <c r="A5" s="1" t="s">
        <v>29</v>
      </c>
      <c r="B5" s="2" t="s">
        <v>30</v>
      </c>
      <c r="C5" s="2" t="s">
        <v>31</v>
      </c>
      <c r="D5" s="2" t="s">
        <v>32</v>
      </c>
      <c r="E5" s="3" t="s">
        <v>26</v>
      </c>
      <c r="F5" s="3" t="s">
        <v>33</v>
      </c>
      <c r="G5" s="1" t="s">
        <v>15</v>
      </c>
      <c r="H5" s="1" t="s">
        <v>16</v>
      </c>
      <c r="I5" s="1">
        <v>125</v>
      </c>
      <c r="J5" s="2" t="s">
        <v>28</v>
      </c>
    </row>
    <row r="6" spans="1:10" ht="83.4" customHeight="1" x14ac:dyDescent="0.3">
      <c r="A6" s="1" t="s">
        <v>34</v>
      </c>
      <c r="B6" s="3" t="s">
        <v>35</v>
      </c>
      <c r="C6" s="11" t="s">
        <v>36</v>
      </c>
      <c r="D6" s="11" t="s">
        <v>36</v>
      </c>
      <c r="E6" s="3" t="s">
        <v>26</v>
      </c>
      <c r="F6" s="3" t="s">
        <v>37</v>
      </c>
      <c r="G6" s="1" t="s">
        <v>38</v>
      </c>
      <c r="H6" s="4" t="s">
        <v>39</v>
      </c>
      <c r="I6" s="1">
        <v>72</v>
      </c>
      <c r="J6" s="3" t="s">
        <v>40</v>
      </c>
    </row>
    <row r="7" spans="1:10" ht="120.6" customHeight="1" x14ac:dyDescent="0.3">
      <c r="A7" s="1" t="s">
        <v>41</v>
      </c>
      <c r="B7" s="2" t="s">
        <v>42</v>
      </c>
      <c r="C7" s="2" t="s">
        <v>43</v>
      </c>
      <c r="D7" s="2" t="s">
        <v>43</v>
      </c>
      <c r="E7" s="3" t="s">
        <v>44</v>
      </c>
      <c r="F7" s="3" t="s">
        <v>45</v>
      </c>
      <c r="G7" s="1" t="s">
        <v>15</v>
      </c>
      <c r="H7" s="1" t="s">
        <v>16</v>
      </c>
      <c r="I7" s="1">
        <v>81</v>
      </c>
      <c r="J7" s="2"/>
    </row>
    <row r="8" spans="1:10" ht="142.19999999999999" customHeight="1" x14ac:dyDescent="0.3">
      <c r="A8" s="1" t="s">
        <v>46</v>
      </c>
      <c r="B8" s="2" t="s">
        <v>47</v>
      </c>
      <c r="C8" s="2" t="s">
        <v>48</v>
      </c>
      <c r="D8" s="2" t="s">
        <v>49</v>
      </c>
      <c r="E8" s="3" t="s">
        <v>44</v>
      </c>
      <c r="F8" s="3" t="s">
        <v>45</v>
      </c>
      <c r="G8" s="1" t="s">
        <v>15</v>
      </c>
      <c r="H8" s="1" t="s">
        <v>16</v>
      </c>
      <c r="I8" s="1">
        <v>90</v>
      </c>
      <c r="J8" s="2" t="s">
        <v>28</v>
      </c>
    </row>
    <row r="9" spans="1:10" ht="163.19999999999999" customHeight="1" x14ac:dyDescent="0.3">
      <c r="A9" s="1" t="s">
        <v>50</v>
      </c>
      <c r="B9" s="2" t="s">
        <v>51</v>
      </c>
      <c r="C9" s="2" t="s">
        <v>52</v>
      </c>
      <c r="D9" s="2" t="s">
        <v>52</v>
      </c>
      <c r="E9" s="3" t="s">
        <v>53</v>
      </c>
      <c r="F9" s="3" t="s">
        <v>54</v>
      </c>
      <c r="G9" s="1" t="s">
        <v>55</v>
      </c>
      <c r="H9" s="1" t="s">
        <v>16</v>
      </c>
      <c r="I9" s="1">
        <v>95</v>
      </c>
      <c r="J9" s="2"/>
    </row>
    <row r="10" spans="1:10" ht="171.6" x14ac:dyDescent="0.3">
      <c r="A10" s="1" t="s">
        <v>56</v>
      </c>
      <c r="B10" s="2" t="s">
        <v>57</v>
      </c>
      <c r="C10" s="2" t="s">
        <v>58</v>
      </c>
      <c r="D10" s="2" t="s">
        <v>58</v>
      </c>
      <c r="E10" s="3" t="s">
        <v>59</v>
      </c>
      <c r="F10" s="3" t="s">
        <v>60</v>
      </c>
      <c r="G10" s="1" t="s">
        <v>38</v>
      </c>
      <c r="H10" s="1" t="s">
        <v>16</v>
      </c>
      <c r="I10" s="1">
        <v>33</v>
      </c>
      <c r="J10" s="2"/>
    </row>
    <row r="11" spans="1:10" ht="409.2" x14ac:dyDescent="0.3">
      <c r="A11" s="1" t="s">
        <v>61</v>
      </c>
      <c r="B11" s="2" t="s">
        <v>62</v>
      </c>
      <c r="C11" s="2" t="s">
        <v>63</v>
      </c>
      <c r="D11" s="2" t="s">
        <v>63</v>
      </c>
      <c r="E11" s="3" t="s">
        <v>64</v>
      </c>
      <c r="F11" s="3" t="s">
        <v>65</v>
      </c>
      <c r="G11" s="1" t="s">
        <v>55</v>
      </c>
      <c r="H11" s="1" t="s">
        <v>16</v>
      </c>
      <c r="I11" s="1">
        <v>84</v>
      </c>
      <c r="J11" s="2"/>
    </row>
    <row r="12" spans="1:10" ht="409.6" x14ac:dyDescent="0.3">
      <c r="A12" s="1" t="s">
        <v>66</v>
      </c>
      <c r="B12" s="3" t="s">
        <v>67</v>
      </c>
      <c r="C12" s="11" t="s">
        <v>68</v>
      </c>
      <c r="D12" s="2" t="s">
        <v>68</v>
      </c>
      <c r="E12" s="3" t="s">
        <v>69</v>
      </c>
      <c r="F12" s="3" t="s">
        <v>70</v>
      </c>
      <c r="G12" s="1" t="s">
        <v>38</v>
      </c>
      <c r="H12" s="4" t="s">
        <v>39</v>
      </c>
      <c r="I12" s="1">
        <v>209</v>
      </c>
      <c r="J12" s="3" t="s">
        <v>71</v>
      </c>
    </row>
    <row r="13" spans="1:10" ht="409.6" x14ac:dyDescent="0.3">
      <c r="A13" s="1" t="s">
        <v>72</v>
      </c>
      <c r="B13" s="3" t="s">
        <v>73</v>
      </c>
      <c r="C13" s="2" t="s">
        <v>74</v>
      </c>
      <c r="D13" s="2" t="s">
        <v>75</v>
      </c>
      <c r="E13" s="3" t="s">
        <v>76</v>
      </c>
      <c r="F13" s="3" t="s">
        <v>77</v>
      </c>
      <c r="G13" s="1" t="s">
        <v>78</v>
      </c>
      <c r="H13" s="4" t="s">
        <v>39</v>
      </c>
      <c r="I13" s="1">
        <v>160</v>
      </c>
      <c r="J13" s="3" t="s">
        <v>79</v>
      </c>
    </row>
    <row r="14" spans="1:10" ht="409.6" x14ac:dyDescent="0.3">
      <c r="A14" s="1" t="s">
        <v>80</v>
      </c>
      <c r="B14" s="3" t="s">
        <v>81</v>
      </c>
      <c r="C14" s="2" t="s">
        <v>82</v>
      </c>
      <c r="D14" s="2" t="s">
        <v>82</v>
      </c>
      <c r="E14" s="3" t="s">
        <v>83</v>
      </c>
      <c r="F14" s="3" t="s">
        <v>84</v>
      </c>
      <c r="G14" s="1" t="s">
        <v>85</v>
      </c>
      <c r="H14" s="4" t="s">
        <v>39</v>
      </c>
      <c r="I14" s="1">
        <v>337</v>
      </c>
      <c r="J14" s="3" t="s">
        <v>86</v>
      </c>
    </row>
    <row r="15" spans="1:10" ht="39.6" x14ac:dyDescent="0.3">
      <c r="A15" s="1" t="s">
        <v>87</v>
      </c>
      <c r="B15" s="2" t="s">
        <v>88</v>
      </c>
      <c r="C15" s="2" t="s">
        <v>89</v>
      </c>
      <c r="D15" s="2" t="s">
        <v>89</v>
      </c>
      <c r="E15" s="3" t="s">
        <v>76</v>
      </c>
      <c r="F15" s="3" t="s">
        <v>90</v>
      </c>
      <c r="G15" s="1" t="s">
        <v>85</v>
      </c>
      <c r="H15" s="1" t="s">
        <v>16</v>
      </c>
      <c r="I15" s="1">
        <v>8</v>
      </c>
      <c r="J15" s="2" t="s">
        <v>91</v>
      </c>
    </row>
    <row r="16" spans="1:10" ht="277.2" x14ac:dyDescent="0.3">
      <c r="A16" s="1" t="s">
        <v>92</v>
      </c>
      <c r="B16" s="2" t="s">
        <v>93</v>
      </c>
      <c r="C16" s="2" t="s">
        <v>94</v>
      </c>
      <c r="D16" s="2" t="s">
        <v>95</v>
      </c>
      <c r="E16" s="3" t="s">
        <v>26</v>
      </c>
      <c r="F16" s="3" t="s">
        <v>96</v>
      </c>
      <c r="G16" s="1" t="s">
        <v>38</v>
      </c>
      <c r="H16" s="1" t="s">
        <v>16</v>
      </c>
      <c r="I16" s="1">
        <v>52</v>
      </c>
      <c r="J16" s="2" t="s">
        <v>28</v>
      </c>
    </row>
    <row r="17" spans="1:10" ht="237.6" x14ac:dyDescent="0.3">
      <c r="A17" s="1" t="s">
        <v>97</v>
      </c>
      <c r="B17" s="2" t="s">
        <v>98</v>
      </c>
      <c r="C17" s="2" t="s">
        <v>99</v>
      </c>
      <c r="D17" s="2" t="s">
        <v>100</v>
      </c>
      <c r="E17" s="3" t="s">
        <v>26</v>
      </c>
      <c r="F17" s="3" t="s">
        <v>33</v>
      </c>
      <c r="G17" s="1" t="s">
        <v>85</v>
      </c>
      <c r="H17" s="1" t="s">
        <v>16</v>
      </c>
      <c r="I17" s="1">
        <v>50</v>
      </c>
      <c r="J17" s="2" t="s">
        <v>28</v>
      </c>
    </row>
    <row r="18" spans="1:10" ht="290.39999999999998" x14ac:dyDescent="0.3">
      <c r="A18" s="1" t="s">
        <v>101</v>
      </c>
      <c r="B18" s="2" t="s">
        <v>102</v>
      </c>
      <c r="C18" s="2" t="s">
        <v>103</v>
      </c>
      <c r="D18" s="2" t="s">
        <v>103</v>
      </c>
      <c r="E18" s="3" t="s">
        <v>44</v>
      </c>
      <c r="F18" s="3" t="s">
        <v>45</v>
      </c>
      <c r="G18" s="1" t="s">
        <v>104</v>
      </c>
      <c r="H18" s="1" t="s">
        <v>16</v>
      </c>
      <c r="I18" s="1">
        <v>62</v>
      </c>
      <c r="J18" s="2" t="s">
        <v>105</v>
      </c>
    </row>
    <row r="19" spans="1:10" ht="112.8" customHeight="1" x14ac:dyDescent="0.3">
      <c r="A19" s="1" t="s">
        <v>106</v>
      </c>
      <c r="B19" s="2" t="s">
        <v>107</v>
      </c>
      <c r="C19" s="2" t="s">
        <v>108</v>
      </c>
      <c r="D19" s="2" t="s">
        <v>108</v>
      </c>
      <c r="E19" s="3" t="s">
        <v>53</v>
      </c>
      <c r="F19" s="3" t="s">
        <v>109</v>
      </c>
      <c r="G19" s="1" t="s">
        <v>104</v>
      </c>
      <c r="H19" s="1" t="s">
        <v>16</v>
      </c>
      <c r="I19" s="1">
        <v>61</v>
      </c>
      <c r="J19" s="2" t="s">
        <v>28</v>
      </c>
    </row>
    <row r="20" spans="1:10" ht="66" x14ac:dyDescent="0.3">
      <c r="A20" s="1" t="s">
        <v>110</v>
      </c>
      <c r="B20" s="2" t="s">
        <v>111</v>
      </c>
      <c r="C20" s="2" t="s">
        <v>112</v>
      </c>
      <c r="D20" s="2" t="s">
        <v>112</v>
      </c>
      <c r="E20" s="3" t="s">
        <v>26</v>
      </c>
      <c r="F20" s="3" t="s">
        <v>33</v>
      </c>
      <c r="G20" s="1" t="s">
        <v>85</v>
      </c>
      <c r="H20" s="1" t="s">
        <v>16</v>
      </c>
      <c r="I20" s="1">
        <v>3</v>
      </c>
      <c r="J20" s="2" t="s">
        <v>91</v>
      </c>
    </row>
    <row r="21" spans="1:10" ht="330" x14ac:dyDescent="0.3">
      <c r="A21" s="1" t="s">
        <v>113</v>
      </c>
      <c r="B21" s="2" t="s">
        <v>114</v>
      </c>
      <c r="C21" s="2" t="s">
        <v>115</v>
      </c>
      <c r="D21" s="2" t="s">
        <v>116</v>
      </c>
      <c r="E21" s="3" t="s">
        <v>64</v>
      </c>
      <c r="F21" s="3" t="s">
        <v>117</v>
      </c>
      <c r="G21" s="1" t="s">
        <v>85</v>
      </c>
      <c r="H21" s="1" t="s">
        <v>16</v>
      </c>
      <c r="I21" s="1">
        <v>65</v>
      </c>
      <c r="J21" s="2" t="s">
        <v>28</v>
      </c>
    </row>
    <row r="22" spans="1:10" ht="132" x14ac:dyDescent="0.3">
      <c r="A22" s="1" t="s">
        <v>118</v>
      </c>
      <c r="B22" s="2" t="s">
        <v>119</v>
      </c>
      <c r="C22" s="2" t="s">
        <v>120</v>
      </c>
      <c r="D22" s="2" t="s">
        <v>120</v>
      </c>
      <c r="E22" s="3" t="s">
        <v>121</v>
      </c>
      <c r="F22" s="3" t="s">
        <v>21</v>
      </c>
      <c r="G22" s="1" t="s">
        <v>85</v>
      </c>
      <c r="H22" s="1" t="s">
        <v>16</v>
      </c>
      <c r="I22" s="1">
        <v>25</v>
      </c>
      <c r="J22" s="2"/>
    </row>
    <row r="23" spans="1:10" ht="105.6" x14ac:dyDescent="0.3">
      <c r="A23" s="1" t="s">
        <v>122</v>
      </c>
      <c r="B23" s="2" t="s">
        <v>123</v>
      </c>
      <c r="C23" s="2" t="s">
        <v>124</v>
      </c>
      <c r="D23" s="2" t="s">
        <v>124</v>
      </c>
      <c r="E23" s="3" t="s">
        <v>13</v>
      </c>
      <c r="F23" s="3" t="s">
        <v>45</v>
      </c>
      <c r="G23" s="1" t="s">
        <v>85</v>
      </c>
      <c r="H23" s="1" t="s">
        <v>16</v>
      </c>
      <c r="I23" s="1">
        <v>29</v>
      </c>
      <c r="J23" s="2"/>
    </row>
    <row r="24" spans="1:10" ht="126.6" customHeight="1" x14ac:dyDescent="0.3">
      <c r="A24" s="1" t="s">
        <v>125</v>
      </c>
      <c r="B24" s="2" t="s">
        <v>126</v>
      </c>
      <c r="C24" s="2" t="s">
        <v>127</v>
      </c>
      <c r="D24" s="2" t="s">
        <v>127</v>
      </c>
      <c r="E24" s="3" t="s">
        <v>121</v>
      </c>
      <c r="F24" s="3" t="s">
        <v>128</v>
      </c>
      <c r="G24" s="1" t="s">
        <v>104</v>
      </c>
      <c r="H24" s="1" t="s">
        <v>16</v>
      </c>
      <c r="I24" s="1">
        <v>66</v>
      </c>
      <c r="J24" s="2" t="s">
        <v>129</v>
      </c>
    </row>
    <row r="25" spans="1:10" ht="94.8" customHeight="1" x14ac:dyDescent="0.3">
      <c r="A25" s="1" t="s">
        <v>130</v>
      </c>
      <c r="B25" s="2" t="s">
        <v>131</v>
      </c>
      <c r="C25" s="2" t="s">
        <v>132</v>
      </c>
      <c r="D25" s="2" t="s">
        <v>132</v>
      </c>
      <c r="E25" s="3" t="s">
        <v>64</v>
      </c>
      <c r="F25" s="3" t="s">
        <v>133</v>
      </c>
      <c r="G25" s="1" t="s">
        <v>85</v>
      </c>
      <c r="H25" s="1" t="s">
        <v>16</v>
      </c>
      <c r="I25" s="1">
        <v>54</v>
      </c>
      <c r="J25" s="2"/>
    </row>
    <row r="26" spans="1:10" ht="93.6" customHeight="1" x14ac:dyDescent="0.3">
      <c r="A26" s="1" t="s">
        <v>134</v>
      </c>
      <c r="B26" s="3" t="s">
        <v>135</v>
      </c>
      <c r="C26" s="11" t="s">
        <v>136</v>
      </c>
      <c r="D26" s="2" t="s">
        <v>136</v>
      </c>
      <c r="E26" s="3" t="s">
        <v>26</v>
      </c>
      <c r="F26" s="3" t="s">
        <v>137</v>
      </c>
      <c r="G26" s="1" t="s">
        <v>55</v>
      </c>
      <c r="H26" s="4" t="s">
        <v>39</v>
      </c>
      <c r="I26" s="1">
        <v>16</v>
      </c>
      <c r="J26" s="3" t="s">
        <v>138</v>
      </c>
    </row>
    <row r="27" spans="1:10" ht="409.6" x14ac:dyDescent="0.3">
      <c r="A27" s="1" t="s">
        <v>139</v>
      </c>
      <c r="B27" s="2" t="s">
        <v>140</v>
      </c>
      <c r="C27" s="2" t="s">
        <v>141</v>
      </c>
      <c r="D27" s="2" t="s">
        <v>141</v>
      </c>
      <c r="E27" s="3" t="s">
        <v>64</v>
      </c>
      <c r="F27" s="3" t="s">
        <v>142</v>
      </c>
      <c r="G27" s="1" t="s">
        <v>104</v>
      </c>
      <c r="H27" s="1" t="s">
        <v>16</v>
      </c>
      <c r="I27" s="1">
        <v>122</v>
      </c>
      <c r="J27" s="2"/>
    </row>
    <row r="28" spans="1:10" ht="184.8" x14ac:dyDescent="0.3">
      <c r="A28" s="1" t="s">
        <v>143</v>
      </c>
      <c r="B28" s="2" t="s">
        <v>144</v>
      </c>
      <c r="C28" s="2" t="s">
        <v>145</v>
      </c>
      <c r="D28" s="2" t="s">
        <v>145</v>
      </c>
      <c r="E28" s="3" t="s">
        <v>13</v>
      </c>
      <c r="F28" s="3" t="s">
        <v>45</v>
      </c>
      <c r="G28" s="1" t="s">
        <v>85</v>
      </c>
      <c r="H28" s="1" t="s">
        <v>16</v>
      </c>
      <c r="I28" s="1">
        <v>36</v>
      </c>
      <c r="J28" s="2"/>
    </row>
    <row r="29" spans="1:10" ht="39.6" x14ac:dyDescent="0.3">
      <c r="A29" s="1" t="s">
        <v>146</v>
      </c>
      <c r="B29" s="2" t="s">
        <v>147</v>
      </c>
      <c r="C29" s="2" t="s">
        <v>148</v>
      </c>
      <c r="D29" s="2" t="s">
        <v>148</v>
      </c>
      <c r="E29" s="3" t="s">
        <v>83</v>
      </c>
      <c r="F29" s="3" t="s">
        <v>45</v>
      </c>
      <c r="G29" s="1" t="s">
        <v>85</v>
      </c>
      <c r="H29" s="1" t="s">
        <v>16</v>
      </c>
      <c r="I29" s="1">
        <v>10</v>
      </c>
      <c r="J29" s="2"/>
    </row>
    <row r="30" spans="1:10" ht="132" x14ac:dyDescent="0.3">
      <c r="A30" s="1" t="s">
        <v>149</v>
      </c>
      <c r="B30" s="2" t="s">
        <v>150</v>
      </c>
      <c r="C30" s="2" t="s">
        <v>151</v>
      </c>
      <c r="D30" s="2" t="s">
        <v>151</v>
      </c>
      <c r="E30" s="3" t="s">
        <v>152</v>
      </c>
      <c r="F30" s="3" t="s">
        <v>153</v>
      </c>
      <c r="G30" s="1" t="s">
        <v>15</v>
      </c>
      <c r="H30" s="1" t="s">
        <v>16</v>
      </c>
      <c r="I30" s="1">
        <v>23</v>
      </c>
      <c r="J30" s="2" t="s">
        <v>154</v>
      </c>
    </row>
    <row r="31" spans="1:10" ht="184.8" x14ac:dyDescent="0.3">
      <c r="A31" s="1" t="s">
        <v>155</v>
      </c>
      <c r="B31" s="2" t="s">
        <v>156</v>
      </c>
      <c r="C31" s="2" t="s">
        <v>157</v>
      </c>
      <c r="D31" s="2" t="s">
        <v>157</v>
      </c>
      <c r="E31" s="3" t="s">
        <v>53</v>
      </c>
      <c r="F31" s="3" t="s">
        <v>158</v>
      </c>
      <c r="G31" s="1" t="s">
        <v>55</v>
      </c>
      <c r="H31" s="1" t="s">
        <v>16</v>
      </c>
      <c r="I31" s="1">
        <v>36</v>
      </c>
      <c r="J31" s="2"/>
    </row>
    <row r="32" spans="1:10" ht="26.4" x14ac:dyDescent="0.3">
      <c r="A32" s="1" t="s">
        <v>159</v>
      </c>
      <c r="B32" s="2" t="s">
        <v>160</v>
      </c>
      <c r="C32" s="2" t="s">
        <v>161</v>
      </c>
      <c r="D32" s="2" t="s">
        <v>161</v>
      </c>
      <c r="E32" s="3" t="s">
        <v>64</v>
      </c>
      <c r="F32" s="3" t="s">
        <v>162</v>
      </c>
      <c r="G32" s="1" t="s">
        <v>85</v>
      </c>
      <c r="H32" s="1" t="s">
        <v>16</v>
      </c>
      <c r="I32" s="1">
        <v>1</v>
      </c>
      <c r="J32" s="2" t="s">
        <v>91</v>
      </c>
    </row>
    <row r="33" spans="1:10" ht="66" x14ac:dyDescent="0.3">
      <c r="A33" s="1" t="s">
        <v>163</v>
      </c>
      <c r="B33" s="3" t="s">
        <v>164</v>
      </c>
      <c r="C33" s="2" t="s">
        <v>165</v>
      </c>
      <c r="D33" s="2" t="s">
        <v>165</v>
      </c>
      <c r="E33" s="3" t="s">
        <v>152</v>
      </c>
      <c r="F33" s="3"/>
      <c r="G33" s="1" t="s">
        <v>38</v>
      </c>
      <c r="H33" s="5" t="s">
        <v>166</v>
      </c>
      <c r="I33" s="1">
        <v>19</v>
      </c>
      <c r="J33" s="3" t="s">
        <v>167</v>
      </c>
    </row>
    <row r="34" spans="1:10" ht="409.6" x14ac:dyDescent="0.3">
      <c r="A34" s="1" t="s">
        <v>168</v>
      </c>
      <c r="B34" s="2" t="s">
        <v>169</v>
      </c>
      <c r="C34" s="2" t="s">
        <v>170</v>
      </c>
      <c r="D34" s="2" t="s">
        <v>170</v>
      </c>
      <c r="E34" s="3" t="s">
        <v>53</v>
      </c>
      <c r="F34" s="3" t="s">
        <v>171</v>
      </c>
      <c r="G34" s="1" t="s">
        <v>55</v>
      </c>
      <c r="H34" s="1" t="s">
        <v>16</v>
      </c>
      <c r="I34" s="1">
        <v>139</v>
      </c>
      <c r="J34" s="2"/>
    </row>
    <row r="35" spans="1:10" ht="52.8" x14ac:dyDescent="0.3">
      <c r="A35" s="1" t="s">
        <v>172</v>
      </c>
      <c r="B35" s="2" t="s">
        <v>173</v>
      </c>
      <c r="C35" s="2" t="s">
        <v>174</v>
      </c>
      <c r="D35" s="2" t="s">
        <v>174</v>
      </c>
      <c r="E35" s="3" t="s">
        <v>76</v>
      </c>
      <c r="F35" s="3" t="s">
        <v>175</v>
      </c>
      <c r="G35" s="1" t="s">
        <v>78</v>
      </c>
      <c r="H35" s="1" t="s">
        <v>16</v>
      </c>
      <c r="I35" s="1">
        <v>11</v>
      </c>
      <c r="J35" s="2" t="s">
        <v>176</v>
      </c>
    </row>
    <row r="36" spans="1:10" ht="303.60000000000002" x14ac:dyDescent="0.3">
      <c r="A36" s="1" t="s">
        <v>177</v>
      </c>
      <c r="B36" s="2" t="s">
        <v>178</v>
      </c>
      <c r="C36" s="2" t="s">
        <v>179</v>
      </c>
      <c r="D36" s="2" t="s">
        <v>179</v>
      </c>
      <c r="E36" s="3" t="s">
        <v>76</v>
      </c>
      <c r="F36" s="3" t="s">
        <v>180</v>
      </c>
      <c r="G36" s="1" t="s">
        <v>78</v>
      </c>
      <c r="H36" s="1" t="s">
        <v>16</v>
      </c>
      <c r="I36" s="1">
        <v>65</v>
      </c>
      <c r="J36" s="2" t="s">
        <v>181</v>
      </c>
    </row>
  </sheetData>
  <autoFilter ref="A1:J36" xr:uid="{00000000-0001-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15F3-86F4-4FD1-8D9D-98BAE99BDAE1}">
  <dimension ref="A1:J30"/>
  <sheetViews>
    <sheetView topLeftCell="A17" workbookViewId="0">
      <selection activeCell="C12" sqref="C12"/>
    </sheetView>
  </sheetViews>
  <sheetFormatPr defaultColWidth="8.6640625" defaultRowHeight="14.4" x14ac:dyDescent="0.3"/>
  <cols>
    <col min="1" max="1" width="9.6640625" bestFit="1" customWidth="1"/>
    <col min="2" max="2" width="40" customWidth="1"/>
    <col min="3" max="3" width="60" style="10" customWidth="1"/>
    <col min="4" max="4" width="60" customWidth="1"/>
    <col min="5" max="5" width="21" bestFit="1" customWidth="1"/>
    <col min="6" max="6" width="49.88671875" bestFit="1" customWidth="1"/>
    <col min="7" max="7" width="14" customWidth="1"/>
    <col min="8" max="8" width="17" customWidth="1"/>
    <col min="9" max="9" width="23.33203125" bestFit="1" customWidth="1"/>
    <col min="10" max="10" width="34" customWidth="1"/>
  </cols>
  <sheetData>
    <row r="1" spans="1:10" x14ac:dyDescent="0.3">
      <c r="A1" s="12" t="s">
        <v>0</v>
      </c>
      <c r="B1" s="12" t="s">
        <v>1</v>
      </c>
      <c r="C1" s="12" t="s">
        <v>194</v>
      </c>
      <c r="D1" s="12" t="s">
        <v>2</v>
      </c>
      <c r="E1" s="12" t="s">
        <v>4</v>
      </c>
      <c r="F1" s="12" t="s">
        <v>5</v>
      </c>
      <c r="G1" s="12" t="s">
        <v>6</v>
      </c>
      <c r="H1" s="12" t="s">
        <v>7</v>
      </c>
      <c r="I1" s="12" t="s">
        <v>8</v>
      </c>
      <c r="J1" s="12" t="s">
        <v>9</v>
      </c>
    </row>
    <row r="2" spans="1:10" ht="52.8" x14ac:dyDescent="0.3">
      <c r="A2" s="1" t="s">
        <v>10</v>
      </c>
      <c r="B2" s="2" t="s">
        <v>11</v>
      </c>
      <c r="C2" s="2" t="s">
        <v>12</v>
      </c>
      <c r="D2" s="2" t="s">
        <v>12</v>
      </c>
      <c r="E2" s="3" t="s">
        <v>13</v>
      </c>
      <c r="F2" s="3" t="s">
        <v>14</v>
      </c>
      <c r="G2" s="1" t="s">
        <v>15</v>
      </c>
      <c r="H2" s="1" t="s">
        <v>16</v>
      </c>
      <c r="I2" s="1">
        <v>44</v>
      </c>
      <c r="J2" s="2" t="s">
        <v>17</v>
      </c>
    </row>
    <row r="3" spans="1:10" ht="148.19999999999999" customHeight="1" x14ac:dyDescent="0.3">
      <c r="A3" s="1" t="s">
        <v>18</v>
      </c>
      <c r="B3" s="2" t="s">
        <v>19</v>
      </c>
      <c r="C3" s="11" t="s">
        <v>20</v>
      </c>
      <c r="D3" s="2" t="s">
        <v>20</v>
      </c>
      <c r="E3" s="3" t="s">
        <v>13</v>
      </c>
      <c r="F3" s="3" t="s">
        <v>21</v>
      </c>
      <c r="G3" s="1" t="s">
        <v>15</v>
      </c>
      <c r="H3" s="1" t="s">
        <v>16</v>
      </c>
      <c r="I3" s="1">
        <v>88</v>
      </c>
      <c r="J3" s="2"/>
    </row>
    <row r="4" spans="1:10" ht="167.4" customHeight="1" x14ac:dyDescent="0.3">
      <c r="A4" s="1" t="s">
        <v>22</v>
      </c>
      <c r="B4" s="2" t="s">
        <v>23</v>
      </c>
      <c r="C4" s="2" t="s">
        <v>24</v>
      </c>
      <c r="D4" s="2" t="s">
        <v>25</v>
      </c>
      <c r="E4" s="3" t="s">
        <v>26</v>
      </c>
      <c r="F4" s="3" t="s">
        <v>27</v>
      </c>
      <c r="G4" s="1" t="s">
        <v>15</v>
      </c>
      <c r="H4" s="1" t="s">
        <v>16</v>
      </c>
      <c r="I4" s="1">
        <v>109</v>
      </c>
      <c r="J4" s="2" t="s">
        <v>28</v>
      </c>
    </row>
    <row r="5" spans="1:10" ht="204.6" customHeight="1" x14ac:dyDescent="0.3">
      <c r="A5" s="1" t="s">
        <v>29</v>
      </c>
      <c r="B5" s="2" t="s">
        <v>30</v>
      </c>
      <c r="C5" s="2" t="s">
        <v>31</v>
      </c>
      <c r="D5" s="2" t="s">
        <v>32</v>
      </c>
      <c r="E5" s="3" t="s">
        <v>26</v>
      </c>
      <c r="F5" s="3" t="s">
        <v>33</v>
      </c>
      <c r="G5" s="1" t="s">
        <v>15</v>
      </c>
      <c r="H5" s="1" t="s">
        <v>16</v>
      </c>
      <c r="I5" s="1">
        <v>125</v>
      </c>
      <c r="J5" s="2" t="s">
        <v>28</v>
      </c>
    </row>
    <row r="6" spans="1:10" ht="120.6" customHeight="1" x14ac:dyDescent="0.3">
      <c r="A6" s="1" t="s">
        <v>41</v>
      </c>
      <c r="B6" s="2" t="s">
        <v>42</v>
      </c>
      <c r="C6" s="2" t="s">
        <v>43</v>
      </c>
      <c r="D6" s="2" t="s">
        <v>43</v>
      </c>
      <c r="E6" s="3" t="s">
        <v>44</v>
      </c>
      <c r="F6" s="3" t="s">
        <v>45</v>
      </c>
      <c r="G6" s="1" t="s">
        <v>15</v>
      </c>
      <c r="H6" s="1" t="s">
        <v>16</v>
      </c>
      <c r="I6" s="1">
        <v>81</v>
      </c>
      <c r="J6" s="2"/>
    </row>
    <row r="7" spans="1:10" ht="142.19999999999999" customHeight="1" x14ac:dyDescent="0.3">
      <c r="A7" s="1" t="s">
        <v>46</v>
      </c>
      <c r="B7" s="2" t="s">
        <v>47</v>
      </c>
      <c r="C7" s="2" t="s">
        <v>48</v>
      </c>
      <c r="D7" s="2" t="s">
        <v>49</v>
      </c>
      <c r="E7" s="3" t="s">
        <v>44</v>
      </c>
      <c r="F7" s="3" t="s">
        <v>45</v>
      </c>
      <c r="G7" s="1" t="s">
        <v>15</v>
      </c>
      <c r="H7" s="1" t="s">
        <v>16</v>
      </c>
      <c r="I7" s="1">
        <v>90</v>
      </c>
      <c r="J7" s="2" t="s">
        <v>28</v>
      </c>
    </row>
    <row r="8" spans="1:10" ht="163.19999999999999" customHeight="1" x14ac:dyDescent="0.3">
      <c r="A8" s="1" t="s">
        <v>50</v>
      </c>
      <c r="B8" s="2" t="s">
        <v>51</v>
      </c>
      <c r="C8" s="2" t="s">
        <v>52</v>
      </c>
      <c r="D8" s="2" t="s">
        <v>52</v>
      </c>
      <c r="E8" s="3" t="s">
        <v>53</v>
      </c>
      <c r="F8" s="3" t="s">
        <v>54</v>
      </c>
      <c r="G8" s="1" t="s">
        <v>55</v>
      </c>
      <c r="H8" s="1" t="s">
        <v>16</v>
      </c>
      <c r="I8" s="1">
        <v>95</v>
      </c>
      <c r="J8" s="2"/>
    </row>
    <row r="9" spans="1:10" ht="52.8" x14ac:dyDescent="0.3">
      <c r="A9" s="1" t="s">
        <v>56</v>
      </c>
      <c r="B9" s="2" t="s">
        <v>57</v>
      </c>
      <c r="C9" s="2" t="s">
        <v>58</v>
      </c>
      <c r="D9" s="2" t="s">
        <v>58</v>
      </c>
      <c r="E9" s="3" t="s">
        <v>59</v>
      </c>
      <c r="F9" s="3" t="s">
        <v>60</v>
      </c>
      <c r="G9" s="1" t="s">
        <v>38</v>
      </c>
      <c r="H9" s="1" t="s">
        <v>16</v>
      </c>
      <c r="I9" s="1">
        <v>33</v>
      </c>
      <c r="J9" s="2"/>
    </row>
    <row r="10" spans="1:10" ht="145.19999999999999" x14ac:dyDescent="0.3">
      <c r="A10" s="1" t="s">
        <v>61</v>
      </c>
      <c r="B10" s="2" t="s">
        <v>62</v>
      </c>
      <c r="C10" s="2" t="s">
        <v>63</v>
      </c>
      <c r="D10" s="2" t="s">
        <v>63</v>
      </c>
      <c r="E10" s="3" t="s">
        <v>64</v>
      </c>
      <c r="F10" s="3" t="s">
        <v>65</v>
      </c>
      <c r="G10" s="1" t="s">
        <v>55</v>
      </c>
      <c r="H10" s="1" t="s">
        <v>16</v>
      </c>
      <c r="I10" s="1">
        <v>84</v>
      </c>
      <c r="J10" s="2"/>
    </row>
    <row r="11" spans="1:10" ht="39.6" x14ac:dyDescent="0.3">
      <c r="A11" s="1" t="s">
        <v>87</v>
      </c>
      <c r="B11" s="2" t="s">
        <v>88</v>
      </c>
      <c r="C11" s="2" t="s">
        <v>89</v>
      </c>
      <c r="D11" s="2" t="s">
        <v>89</v>
      </c>
      <c r="E11" s="17" t="s">
        <v>76</v>
      </c>
      <c r="F11" s="3" t="s">
        <v>90</v>
      </c>
      <c r="G11" s="1" t="s">
        <v>85</v>
      </c>
      <c r="H11" s="1" t="s">
        <v>16</v>
      </c>
      <c r="I11" s="1">
        <v>8</v>
      </c>
      <c r="J11" s="2" t="s">
        <v>91</v>
      </c>
    </row>
    <row r="12" spans="1:10" ht="79.2" x14ac:dyDescent="0.3">
      <c r="A12" s="1" t="s">
        <v>92</v>
      </c>
      <c r="B12" s="2" t="s">
        <v>93</v>
      </c>
      <c r="C12" s="2" t="s">
        <v>94</v>
      </c>
      <c r="D12" s="2" t="s">
        <v>95</v>
      </c>
      <c r="E12" s="3" t="s">
        <v>26</v>
      </c>
      <c r="F12" s="3" t="s">
        <v>96</v>
      </c>
      <c r="G12" s="1" t="s">
        <v>38</v>
      </c>
      <c r="H12" s="1" t="s">
        <v>16</v>
      </c>
      <c r="I12" s="1">
        <v>52</v>
      </c>
      <c r="J12" s="2" t="s">
        <v>28</v>
      </c>
    </row>
    <row r="13" spans="1:10" ht="66" x14ac:dyDescent="0.3">
      <c r="A13" s="1" t="s">
        <v>97</v>
      </c>
      <c r="B13" s="2" t="s">
        <v>98</v>
      </c>
      <c r="C13" s="2" t="s">
        <v>99</v>
      </c>
      <c r="D13" s="2" t="s">
        <v>100</v>
      </c>
      <c r="E13" s="3" t="s">
        <v>26</v>
      </c>
      <c r="F13" s="3" t="s">
        <v>33</v>
      </c>
      <c r="G13" s="1" t="s">
        <v>85</v>
      </c>
      <c r="H13" s="1" t="s">
        <v>16</v>
      </c>
      <c r="I13" s="1">
        <v>50</v>
      </c>
      <c r="J13" s="2" t="s">
        <v>28</v>
      </c>
    </row>
    <row r="14" spans="1:10" ht="79.2" x14ac:dyDescent="0.3">
      <c r="A14" s="1" t="s">
        <v>101</v>
      </c>
      <c r="B14" s="2" t="s">
        <v>102</v>
      </c>
      <c r="C14" s="2" t="s">
        <v>103</v>
      </c>
      <c r="D14" s="2" t="s">
        <v>103</v>
      </c>
      <c r="E14" s="17" t="s">
        <v>44</v>
      </c>
      <c r="F14" s="3" t="s">
        <v>45</v>
      </c>
      <c r="G14" s="1" t="s">
        <v>104</v>
      </c>
      <c r="H14" s="1" t="s">
        <v>16</v>
      </c>
      <c r="I14" s="1">
        <v>62</v>
      </c>
      <c r="J14" s="2" t="s">
        <v>105</v>
      </c>
    </row>
    <row r="15" spans="1:10" ht="112.8" customHeight="1" x14ac:dyDescent="0.3">
      <c r="A15" s="1" t="s">
        <v>106</v>
      </c>
      <c r="B15" s="2" t="s">
        <v>107</v>
      </c>
      <c r="C15" s="2" t="s">
        <v>108</v>
      </c>
      <c r="D15" s="2" t="s">
        <v>108</v>
      </c>
      <c r="E15" s="3" t="s">
        <v>53</v>
      </c>
      <c r="F15" s="3" t="s">
        <v>109</v>
      </c>
      <c r="G15" s="1" t="s">
        <v>104</v>
      </c>
      <c r="H15" s="1" t="s">
        <v>16</v>
      </c>
      <c r="I15" s="1">
        <v>61</v>
      </c>
      <c r="J15" s="2" t="s">
        <v>28</v>
      </c>
    </row>
    <row r="16" spans="1:10" ht="66" x14ac:dyDescent="0.3">
      <c r="A16" s="1" t="s">
        <v>110</v>
      </c>
      <c r="B16" s="2" t="s">
        <v>111</v>
      </c>
      <c r="C16" s="2" t="s">
        <v>112</v>
      </c>
      <c r="D16" s="2" t="s">
        <v>112</v>
      </c>
      <c r="E16" s="3" t="s">
        <v>26</v>
      </c>
      <c r="F16" s="3" t="s">
        <v>33</v>
      </c>
      <c r="G16" s="1" t="s">
        <v>85</v>
      </c>
      <c r="H16" s="1" t="s">
        <v>16</v>
      </c>
      <c r="I16" s="1">
        <v>3</v>
      </c>
      <c r="J16" s="2" t="s">
        <v>91</v>
      </c>
    </row>
    <row r="17" spans="1:10" ht="92.4" x14ac:dyDescent="0.3">
      <c r="A17" s="1" t="s">
        <v>113</v>
      </c>
      <c r="B17" s="2" t="s">
        <v>114</v>
      </c>
      <c r="C17" s="2" t="s">
        <v>115</v>
      </c>
      <c r="D17" s="2" t="s">
        <v>116</v>
      </c>
      <c r="E17" s="3" t="s">
        <v>64</v>
      </c>
      <c r="F17" s="3" t="s">
        <v>117</v>
      </c>
      <c r="G17" s="1" t="s">
        <v>85</v>
      </c>
      <c r="H17" s="1" t="s">
        <v>16</v>
      </c>
      <c r="I17" s="1">
        <v>65</v>
      </c>
      <c r="J17" s="2" t="s">
        <v>28</v>
      </c>
    </row>
    <row r="18" spans="1:10" ht="39.6" x14ac:dyDescent="0.3">
      <c r="A18" s="1" t="s">
        <v>118</v>
      </c>
      <c r="B18" s="2" t="s">
        <v>119</v>
      </c>
      <c r="C18" s="2" t="s">
        <v>120</v>
      </c>
      <c r="D18" s="2" t="s">
        <v>120</v>
      </c>
      <c r="E18" s="17" t="s">
        <v>121</v>
      </c>
      <c r="F18" s="3" t="s">
        <v>21</v>
      </c>
      <c r="G18" s="1" t="s">
        <v>85</v>
      </c>
      <c r="H18" s="1" t="s">
        <v>16</v>
      </c>
      <c r="I18" s="1">
        <v>25</v>
      </c>
      <c r="J18" s="2"/>
    </row>
    <row r="19" spans="1:10" ht="39.6" x14ac:dyDescent="0.3">
      <c r="A19" s="1" t="s">
        <v>122</v>
      </c>
      <c r="B19" s="2" t="s">
        <v>123</v>
      </c>
      <c r="C19" s="2" t="s">
        <v>124</v>
      </c>
      <c r="D19" s="2" t="s">
        <v>124</v>
      </c>
      <c r="E19" s="3" t="s">
        <v>13</v>
      </c>
      <c r="F19" s="3" t="s">
        <v>45</v>
      </c>
      <c r="G19" s="1" t="s">
        <v>85</v>
      </c>
      <c r="H19" s="1" t="s">
        <v>16</v>
      </c>
      <c r="I19" s="1">
        <v>29</v>
      </c>
      <c r="J19" s="2"/>
    </row>
    <row r="20" spans="1:10" ht="126.6" customHeight="1" x14ac:dyDescent="0.3">
      <c r="A20" s="1" t="s">
        <v>125</v>
      </c>
      <c r="B20" s="2" t="s">
        <v>126</v>
      </c>
      <c r="C20" s="2" t="s">
        <v>127</v>
      </c>
      <c r="D20" s="2" t="s">
        <v>127</v>
      </c>
      <c r="E20" s="3" t="s">
        <v>121</v>
      </c>
      <c r="F20" s="3" t="s">
        <v>128</v>
      </c>
      <c r="G20" s="1" t="s">
        <v>104</v>
      </c>
      <c r="H20" s="1" t="s">
        <v>16</v>
      </c>
      <c r="I20" s="1">
        <v>66</v>
      </c>
      <c r="J20" s="2" t="s">
        <v>129</v>
      </c>
    </row>
    <row r="21" spans="1:10" ht="94.8" customHeight="1" x14ac:dyDescent="0.3">
      <c r="A21" s="1" t="s">
        <v>130</v>
      </c>
      <c r="B21" s="2" t="s">
        <v>131</v>
      </c>
      <c r="C21" s="2" t="s">
        <v>132</v>
      </c>
      <c r="D21" s="2" t="s">
        <v>132</v>
      </c>
      <c r="E21" s="3" t="s">
        <v>64</v>
      </c>
      <c r="F21" s="3" t="s">
        <v>133</v>
      </c>
      <c r="G21" s="1" t="s">
        <v>85</v>
      </c>
      <c r="H21" s="1" t="s">
        <v>16</v>
      </c>
      <c r="I21" s="1">
        <v>54</v>
      </c>
      <c r="J21" s="2"/>
    </row>
    <row r="22" spans="1:10" ht="145.19999999999999" x14ac:dyDescent="0.3">
      <c r="A22" s="1" t="s">
        <v>139</v>
      </c>
      <c r="B22" s="2" t="s">
        <v>140</v>
      </c>
      <c r="C22" s="2" t="s">
        <v>141</v>
      </c>
      <c r="D22" s="2" t="s">
        <v>141</v>
      </c>
      <c r="E22" s="3" t="s">
        <v>64</v>
      </c>
      <c r="F22" s="3" t="s">
        <v>142</v>
      </c>
      <c r="G22" s="1" t="s">
        <v>104</v>
      </c>
      <c r="H22" s="1" t="s">
        <v>16</v>
      </c>
      <c r="I22" s="1">
        <v>122</v>
      </c>
      <c r="J22" s="2"/>
    </row>
    <row r="23" spans="1:10" ht="52.8" x14ac:dyDescent="0.3">
      <c r="A23" s="1" t="s">
        <v>143</v>
      </c>
      <c r="B23" s="2" t="s">
        <v>144</v>
      </c>
      <c r="C23" s="2" t="s">
        <v>145</v>
      </c>
      <c r="D23" s="2" t="s">
        <v>145</v>
      </c>
      <c r="E23" s="3" t="s">
        <v>13</v>
      </c>
      <c r="F23" s="3" t="s">
        <v>45</v>
      </c>
      <c r="G23" s="1" t="s">
        <v>85</v>
      </c>
      <c r="H23" s="1" t="s">
        <v>16</v>
      </c>
      <c r="I23" s="1">
        <v>36</v>
      </c>
      <c r="J23" s="2"/>
    </row>
    <row r="24" spans="1:10" ht="26.4" x14ac:dyDescent="0.3">
      <c r="A24" s="1" t="s">
        <v>146</v>
      </c>
      <c r="B24" s="2" t="s">
        <v>147</v>
      </c>
      <c r="C24" s="2" t="s">
        <v>148</v>
      </c>
      <c r="D24" s="2" t="s">
        <v>148</v>
      </c>
      <c r="E24" s="3" t="s">
        <v>83</v>
      </c>
      <c r="F24" s="3" t="s">
        <v>45</v>
      </c>
      <c r="G24" s="1" t="s">
        <v>85</v>
      </c>
      <c r="H24" s="1" t="s">
        <v>16</v>
      </c>
      <c r="I24" s="1">
        <v>10</v>
      </c>
      <c r="J24" s="2"/>
    </row>
    <row r="25" spans="1:10" ht="39.6" x14ac:dyDescent="0.3">
      <c r="A25" s="1" t="s">
        <v>149</v>
      </c>
      <c r="B25" s="2" t="s">
        <v>150</v>
      </c>
      <c r="C25" s="2" t="s">
        <v>151</v>
      </c>
      <c r="D25" s="2" t="s">
        <v>151</v>
      </c>
      <c r="E25" s="3" t="s">
        <v>152</v>
      </c>
      <c r="F25" s="3" t="s">
        <v>153</v>
      </c>
      <c r="G25" s="1" t="s">
        <v>15</v>
      </c>
      <c r="H25" s="1" t="s">
        <v>16</v>
      </c>
      <c r="I25" s="1">
        <v>23</v>
      </c>
      <c r="J25" s="2" t="s">
        <v>154</v>
      </c>
    </row>
    <row r="26" spans="1:10" ht="79.2" x14ac:dyDescent="0.3">
      <c r="A26" s="1" t="s">
        <v>155</v>
      </c>
      <c r="B26" s="2" t="s">
        <v>156</v>
      </c>
      <c r="C26" s="2" t="s">
        <v>157</v>
      </c>
      <c r="D26" s="2" t="s">
        <v>157</v>
      </c>
      <c r="E26" s="3" t="s">
        <v>53</v>
      </c>
      <c r="F26" s="3" t="s">
        <v>158</v>
      </c>
      <c r="G26" s="1" t="s">
        <v>55</v>
      </c>
      <c r="H26" s="1" t="s">
        <v>16</v>
      </c>
      <c r="I26" s="1">
        <v>36</v>
      </c>
      <c r="J26" s="2"/>
    </row>
    <row r="27" spans="1:10" ht="26.4" x14ac:dyDescent="0.3">
      <c r="A27" s="1" t="s">
        <v>159</v>
      </c>
      <c r="B27" s="2" t="s">
        <v>160</v>
      </c>
      <c r="C27" s="2" t="s">
        <v>161</v>
      </c>
      <c r="D27" s="2" t="s">
        <v>161</v>
      </c>
      <c r="E27" s="3" t="s">
        <v>64</v>
      </c>
      <c r="F27" s="3" t="s">
        <v>162</v>
      </c>
      <c r="G27" s="1" t="s">
        <v>85</v>
      </c>
      <c r="H27" s="1" t="s">
        <v>16</v>
      </c>
      <c r="I27" s="1">
        <v>1</v>
      </c>
      <c r="J27" s="2" t="s">
        <v>91</v>
      </c>
    </row>
    <row r="28" spans="1:10" ht="264" x14ac:dyDescent="0.3">
      <c r="A28" s="1" t="s">
        <v>168</v>
      </c>
      <c r="B28" s="2" t="s">
        <v>169</v>
      </c>
      <c r="C28" s="2" t="s">
        <v>170</v>
      </c>
      <c r="D28" s="2" t="s">
        <v>170</v>
      </c>
      <c r="E28" s="3" t="s">
        <v>53</v>
      </c>
      <c r="F28" s="3" t="s">
        <v>171</v>
      </c>
      <c r="G28" s="1" t="s">
        <v>55</v>
      </c>
      <c r="H28" s="1" t="s">
        <v>16</v>
      </c>
      <c r="I28" s="1">
        <v>139</v>
      </c>
      <c r="J28" s="2"/>
    </row>
    <row r="29" spans="1:10" ht="26.4" x14ac:dyDescent="0.3">
      <c r="A29" s="1" t="s">
        <v>172</v>
      </c>
      <c r="B29" s="2" t="s">
        <v>173</v>
      </c>
      <c r="C29" s="2" t="s">
        <v>174</v>
      </c>
      <c r="D29" s="2" t="s">
        <v>174</v>
      </c>
      <c r="E29" s="3" t="s">
        <v>76</v>
      </c>
      <c r="F29" s="3" t="s">
        <v>175</v>
      </c>
      <c r="G29" s="1" t="s">
        <v>78</v>
      </c>
      <c r="H29" s="1" t="s">
        <v>16</v>
      </c>
      <c r="I29" s="1">
        <v>11</v>
      </c>
      <c r="J29" s="2" t="s">
        <v>176</v>
      </c>
    </row>
    <row r="30" spans="1:10" ht="105.6" x14ac:dyDescent="0.3">
      <c r="A30" s="1" t="s">
        <v>177</v>
      </c>
      <c r="B30" s="2" t="s">
        <v>178</v>
      </c>
      <c r="C30" s="2" t="s">
        <v>179</v>
      </c>
      <c r="D30" s="2" t="s">
        <v>179</v>
      </c>
      <c r="E30" s="3" t="s">
        <v>76</v>
      </c>
      <c r="F30" s="3" t="s">
        <v>180</v>
      </c>
      <c r="G30" s="1" t="s">
        <v>78</v>
      </c>
      <c r="H30" s="1" t="s">
        <v>16</v>
      </c>
      <c r="I30" s="1">
        <v>65</v>
      </c>
      <c r="J30" s="2" t="s">
        <v>181</v>
      </c>
    </row>
  </sheetData>
  <autoFilter ref="A1:J30" xr:uid="{656415F3-86F4-4FD1-8D9D-98BAE99BDAE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tabSelected="1" zoomScaleNormal="100" workbookViewId="0">
      <selection activeCell="I16" sqref="I16"/>
    </sheetView>
  </sheetViews>
  <sheetFormatPr defaultColWidth="8.6640625" defaultRowHeight="14.4" x14ac:dyDescent="0.3"/>
  <cols>
    <col min="1" max="1" width="45.21875" bestFit="1" customWidth="1"/>
    <col min="2" max="2" width="6.88671875" bestFit="1" customWidth="1"/>
    <col min="4" max="4" width="25.44140625" bestFit="1" customWidth="1"/>
    <col min="5" max="5" width="6.88671875" customWidth="1"/>
  </cols>
  <sheetData>
    <row r="1" spans="1:5" ht="16.8" x14ac:dyDescent="0.3">
      <c r="A1" s="6" t="s">
        <v>182</v>
      </c>
    </row>
    <row r="2" spans="1:5" x14ac:dyDescent="0.3">
      <c r="A2" s="7" t="s">
        <v>183</v>
      </c>
      <c r="B2" s="8">
        <f>COUNTA(Dataset!A2:A36)</f>
        <v>35</v>
      </c>
      <c r="E2" s="15">
        <v>29</v>
      </c>
    </row>
    <row r="4" spans="1:5" x14ac:dyDescent="0.3">
      <c r="A4" s="9" t="s">
        <v>184</v>
      </c>
      <c r="B4" s="9" t="s">
        <v>185</v>
      </c>
      <c r="D4" s="9" t="s">
        <v>184</v>
      </c>
      <c r="E4" s="9" t="s">
        <v>185</v>
      </c>
    </row>
    <row r="5" spans="1:5" x14ac:dyDescent="0.3">
      <c r="A5" s="7" t="s">
        <v>26</v>
      </c>
      <c r="B5" s="7">
        <f>COUNTIF(Dataset!E2:E36,A5)</f>
        <v>7</v>
      </c>
      <c r="D5" s="16" t="s">
        <v>26</v>
      </c>
      <c r="E5" s="7">
        <f>B5-2</f>
        <v>5</v>
      </c>
    </row>
    <row r="6" spans="1:5" x14ac:dyDescent="0.3">
      <c r="A6" s="7" t="s">
        <v>64</v>
      </c>
      <c r="B6" s="7">
        <f>COUNTIF(Dataset!E2:E36,A6)</f>
        <v>5</v>
      </c>
      <c r="D6" s="7" t="s">
        <v>64</v>
      </c>
      <c r="E6" s="7">
        <f>B6</f>
        <v>5</v>
      </c>
    </row>
    <row r="7" spans="1:5" x14ac:dyDescent="0.3">
      <c r="A7" s="7" t="s">
        <v>59</v>
      </c>
      <c r="B7" s="7">
        <f>COUNTIF(Dataset!E2:E36,A7)</f>
        <v>1</v>
      </c>
      <c r="D7" s="7" t="s">
        <v>59</v>
      </c>
      <c r="E7" s="7">
        <f>B7</f>
        <v>1</v>
      </c>
    </row>
    <row r="8" spans="1:5" x14ac:dyDescent="0.3">
      <c r="A8" s="7" t="s">
        <v>69</v>
      </c>
      <c r="B8" s="7">
        <f>COUNTIF(Dataset!E2:E36,A8)</f>
        <v>1</v>
      </c>
      <c r="D8" s="7" t="s">
        <v>69</v>
      </c>
      <c r="E8" s="7">
        <f>B8</f>
        <v>1</v>
      </c>
    </row>
    <row r="9" spans="1:5" x14ac:dyDescent="0.3">
      <c r="A9" s="7" t="s">
        <v>13</v>
      </c>
      <c r="B9" s="7">
        <f>COUNTIF(Dataset!E2:E36,A9)</f>
        <v>4</v>
      </c>
      <c r="D9" s="7" t="s">
        <v>13</v>
      </c>
      <c r="E9" s="7">
        <f>B9-1</f>
        <v>3</v>
      </c>
    </row>
    <row r="10" spans="1:5" x14ac:dyDescent="0.3">
      <c r="A10" s="7" t="s">
        <v>152</v>
      </c>
      <c r="B10" s="7">
        <f>COUNTIF(Dataset!E2:E36,A10)</f>
        <v>2</v>
      </c>
      <c r="D10" s="7" t="s">
        <v>152</v>
      </c>
      <c r="E10" s="7">
        <f>B10-1</f>
        <v>1</v>
      </c>
    </row>
    <row r="11" spans="1:5" x14ac:dyDescent="0.3">
      <c r="A11" s="7" t="s">
        <v>53</v>
      </c>
      <c r="B11" s="7">
        <f>COUNTIF(Dataset!E2:E36,A11)</f>
        <v>4</v>
      </c>
      <c r="D11" s="7" t="s">
        <v>53</v>
      </c>
      <c r="E11" s="7">
        <f>B11</f>
        <v>4</v>
      </c>
    </row>
    <row r="12" spans="1:5" x14ac:dyDescent="0.3">
      <c r="A12" s="7" t="s">
        <v>76</v>
      </c>
      <c r="B12" s="7">
        <f>COUNTIF(Dataset!E2:E36,A12)</f>
        <v>4</v>
      </c>
      <c r="D12" s="7" t="s">
        <v>76</v>
      </c>
      <c r="E12" s="7">
        <f>B12-1</f>
        <v>3</v>
      </c>
    </row>
    <row r="13" spans="1:5" x14ac:dyDescent="0.3">
      <c r="A13" s="7" t="s">
        <v>44</v>
      </c>
      <c r="B13" s="7">
        <f>COUNTIF(Dataset!E2:E36,A13)</f>
        <v>3</v>
      </c>
      <c r="D13" s="7" t="s">
        <v>44</v>
      </c>
      <c r="E13" s="7">
        <f>B13</f>
        <v>3</v>
      </c>
    </row>
    <row r="14" spans="1:5" x14ac:dyDescent="0.3">
      <c r="A14" s="7" t="s">
        <v>83</v>
      </c>
      <c r="B14" s="7">
        <f>COUNTIF(Dataset!E2:E36,A14)</f>
        <v>2</v>
      </c>
      <c r="D14" s="7" t="s">
        <v>83</v>
      </c>
      <c r="E14" s="7">
        <f>B14-1</f>
        <v>1</v>
      </c>
    </row>
    <row r="15" spans="1:5" x14ac:dyDescent="0.3">
      <c r="A15" s="7" t="s">
        <v>121</v>
      </c>
      <c r="B15" s="7">
        <f>COUNTIF(Dataset!E2:E36,A15)</f>
        <v>2</v>
      </c>
      <c r="D15" s="7" t="s">
        <v>121</v>
      </c>
      <c r="E15" s="7">
        <f>B15</f>
        <v>2</v>
      </c>
    </row>
    <row r="17" spans="1:5" x14ac:dyDescent="0.3">
      <c r="A17" s="9" t="s">
        <v>186</v>
      </c>
      <c r="B17" s="9" t="s">
        <v>185</v>
      </c>
      <c r="D17" s="9" t="s">
        <v>186</v>
      </c>
      <c r="E17" s="9" t="s">
        <v>185</v>
      </c>
    </row>
    <row r="18" spans="1:5" x14ac:dyDescent="0.3">
      <c r="A18" s="7" t="s">
        <v>15</v>
      </c>
      <c r="B18" s="7">
        <f>COUNTIF(Dataset!G2:G36,A18)</f>
        <v>7</v>
      </c>
      <c r="D18" s="7" t="s">
        <v>15</v>
      </c>
      <c r="E18" s="7">
        <f>B18</f>
        <v>7</v>
      </c>
    </row>
    <row r="19" spans="1:5" x14ac:dyDescent="0.3">
      <c r="A19" s="7" t="s">
        <v>38</v>
      </c>
      <c r="B19" s="7">
        <f>COUNTIF(Dataset!G2:G36,A19)</f>
        <v>5</v>
      </c>
      <c r="D19" s="7" t="s">
        <v>38</v>
      </c>
      <c r="E19" s="7">
        <f>B19-3</f>
        <v>2</v>
      </c>
    </row>
    <row r="20" spans="1:5" x14ac:dyDescent="0.3">
      <c r="A20" s="7" t="s">
        <v>55</v>
      </c>
      <c r="B20" s="7">
        <f>COUNTIF(Dataset!G2:G36,A20)</f>
        <v>5</v>
      </c>
      <c r="D20" s="7" t="s">
        <v>55</v>
      </c>
      <c r="E20" s="7">
        <f>B20-1</f>
        <v>4</v>
      </c>
    </row>
    <row r="21" spans="1:5" x14ac:dyDescent="0.3">
      <c r="A21" s="7" t="s">
        <v>78</v>
      </c>
      <c r="B21" s="7">
        <f>COUNTIF(Dataset!G2:G36,A21)</f>
        <v>3</v>
      </c>
      <c r="D21" s="7" t="s">
        <v>78</v>
      </c>
      <c r="E21" s="7">
        <f>B21-1</f>
        <v>2</v>
      </c>
    </row>
    <row r="22" spans="1:5" x14ac:dyDescent="0.3">
      <c r="A22" s="7" t="s">
        <v>104</v>
      </c>
      <c r="B22" s="7">
        <f>COUNTIF(Dataset!G2:G36,A22)</f>
        <v>4</v>
      </c>
      <c r="D22" s="7" t="s">
        <v>104</v>
      </c>
      <c r="E22" s="7">
        <f>B22</f>
        <v>4</v>
      </c>
    </row>
    <row r="23" spans="1:5" x14ac:dyDescent="0.3">
      <c r="A23" s="7" t="s">
        <v>85</v>
      </c>
      <c r="B23" s="7">
        <f>COUNTIF(Dataset!G2:G36,A23)</f>
        <v>11</v>
      </c>
      <c r="D23" s="7" t="s">
        <v>85</v>
      </c>
      <c r="E23" s="7">
        <f>B23-1</f>
        <v>10</v>
      </c>
    </row>
    <row r="25" spans="1:5" x14ac:dyDescent="0.3">
      <c r="A25" s="9" t="s">
        <v>187</v>
      </c>
      <c r="B25" s="9" t="s">
        <v>185</v>
      </c>
      <c r="D25" s="9" t="s">
        <v>187</v>
      </c>
      <c r="E25" s="9" t="s">
        <v>185</v>
      </c>
    </row>
    <row r="26" spans="1:5" x14ac:dyDescent="0.3">
      <c r="A26" s="7" t="s">
        <v>16</v>
      </c>
      <c r="B26" s="7">
        <f>COUNTIF(Dataset!H2:H36,A26)</f>
        <v>29</v>
      </c>
      <c r="D26" s="7" t="s">
        <v>16</v>
      </c>
      <c r="E26" s="7">
        <f>B26</f>
        <v>29</v>
      </c>
    </row>
    <row r="27" spans="1:5" x14ac:dyDescent="0.3">
      <c r="A27" s="7" t="s">
        <v>39</v>
      </c>
      <c r="B27" s="7">
        <f>COUNTIF(Dataset!H2:H36,A27)</f>
        <v>5</v>
      </c>
    </row>
    <row r="28" spans="1:5" x14ac:dyDescent="0.3">
      <c r="A28" s="7" t="s">
        <v>166</v>
      </c>
      <c r="B28" s="7">
        <f>COUNTIF(Dataset!H2:H36,A28)</f>
        <v>1</v>
      </c>
    </row>
    <row r="30" spans="1:5" x14ac:dyDescent="0.3">
      <c r="A30" s="9" t="s">
        <v>188</v>
      </c>
      <c r="B30" s="9" t="s">
        <v>185</v>
      </c>
      <c r="D30" s="9" t="s">
        <v>188</v>
      </c>
      <c r="E30" s="9" t="s">
        <v>185</v>
      </c>
    </row>
    <row r="31" spans="1:5" x14ac:dyDescent="0.3">
      <c r="A31" s="7" t="s">
        <v>189</v>
      </c>
      <c r="B31" s="7">
        <f>COUNTIF(Dataset!J2:J36,"?*")</f>
        <v>22</v>
      </c>
      <c r="D31" s="7" t="s">
        <v>189</v>
      </c>
      <c r="E31">
        <v>16</v>
      </c>
    </row>
    <row r="32" spans="1:5" x14ac:dyDescent="0.3">
      <c r="A32" s="7" t="s">
        <v>190</v>
      </c>
      <c r="B32" s="7">
        <f>COUNTIF(Dataset!J2:J36,"*org-specific*")</f>
        <v>8</v>
      </c>
      <c r="D32" s="7" t="s">
        <v>190</v>
      </c>
      <c r="E32">
        <f>B32-1</f>
        <v>7</v>
      </c>
    </row>
    <row r="33" spans="1:5" x14ac:dyDescent="0.3">
      <c r="A33" s="7" t="s">
        <v>191</v>
      </c>
      <c r="B33" s="7">
        <f>COUNTIF(Dataset!I2:I36,"&lt;8")</f>
        <v>2</v>
      </c>
      <c r="D33" s="7" t="s">
        <v>191</v>
      </c>
      <c r="E33" s="7">
        <v>2</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3A21B-AB5A-44CF-BF86-DC53B8FE8F1E}">
  <dimension ref="A1:B1"/>
  <sheetViews>
    <sheetView workbookViewId="0">
      <selection activeCell="E23" sqref="E23"/>
    </sheetView>
  </sheetViews>
  <sheetFormatPr defaultRowHeight="14.4" x14ac:dyDescent="0.3"/>
  <cols>
    <col min="1" max="1" width="19.33203125" bestFit="1" customWidth="1"/>
  </cols>
  <sheetData>
    <row r="1" spans="1:2" x14ac:dyDescent="0.3">
      <c r="A1" t="s">
        <v>193</v>
      </c>
      <c r="B1" s="13"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pdpaCh1and2Dataset</vt:lpstr>
      <vt:lpstr>Quality Report</vt:lpstr>
      <vt:lpstr>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Kyi Thin Nu</cp:lastModifiedBy>
  <cp:revision>0</cp:revision>
  <dcterms:created xsi:type="dcterms:W3CDTF">2026-06-16T06:58:15Z</dcterms:created>
  <dcterms:modified xsi:type="dcterms:W3CDTF">2026-07-01T17:39:16Z</dcterms:modified>
  <dc:language>en-US</dc:language>
</cp:coreProperties>
</file>